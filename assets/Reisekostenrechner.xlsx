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customXml/itemProps1.xml" ContentType="application/vnd.openxmlformats-officedocument.customXmlProperties+xml"/>
  <Override PartName="/xl/tables/table3.xml" ContentType="application/vnd.openxmlformats-officedocument.spreadsheetml.table+xml"/>
  <Override PartName="/customXml/itemProps2.xml" ContentType="application/vnd.openxmlformats-officedocument.customXmlProperties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eta" sheetId="1" state="visible" r:id="rId5"/>
    <sheet name="Reise 1" sheetId="2" state="visible" r:id="rId6"/>
    <sheet name="Reise 2" sheetId="3" state="visible" r:id="rId7"/>
    <sheet name="Reise 3" sheetId="4" state="visible" r:id="rId8"/>
    <sheet name="Reise 4" sheetId="5" state="visible" r:id="rId9"/>
    <sheet name="Reise 5" sheetId="6" state="visible" r:id="rId10"/>
    <sheet name="Gesamt" sheetId="7" state="visible" r:id="rId1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<sst xmlns="http://schemas.openxmlformats.org/spreadsheetml/2006/main" count="61" uniqueCount="61">
  <si>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>Beschreibung</t>
  </si>
  <si>
    <t>Wert</t>
  </si>
  <si>
    <t xml:space="preserve">Einheit / Hinweis</t>
  </si>
  <si>
    <t xml:space="preserve">Kilometergeld PKW</t>
  </si>
  <si>
    <t xml:space="preserve">€/km – §26 EStG Höchstsatz (2025)</t>
  </si>
  <si>
    <t xml:space="preserve">Mitfahrer-Zuschlag (PKW)</t>
  </si>
  <si>
    <t>€/Mitfahrer/km</t>
  </si>
  <si>
    <t xml:space="preserve">Taggeld Inland ab 11 h</t>
  </si>
  <si>
    <t xml:space="preserve">€ pro 24h (1/12 je begonnener Stunde &gt;3h bis 11h)</t>
  </si>
  <si>
    <t xml:space="preserve">Kürzung bei bezahltem Essen</t>
  </si>
  <si>
    <t xml:space="preserve">€ pro bezahltem Essen</t>
  </si>
  <si>
    <t xml:space="preserve">Dienstreise 1</t>
  </si>
  <si>
    <t xml:space="preserve">Erfüllung der Anspruchsvoraussetzungen für Taggeld</t>
  </si>
  <si>
    <t xml:space="preserve">Der Einsatzort ist mindestens 25 km vom Mittelpunkt der Tätigkeit entfernt</t>
  </si>
  <si>
    <t xml:space="preserve">Die Abwesenheit dauert mehr als 3 Stunden</t>
  </si>
  <si>
    <t xml:space="preserve">Anzahl bereitgestellte Mittag- / Abendessen</t>
  </si>
  <si>
    <t>Reiseangaben</t>
  </si>
  <si>
    <t>Fahrtenbuch</t>
  </si>
  <si>
    <t>Berechnungen</t>
  </si>
  <si>
    <t>Mitarbeiter</t>
  </si>
  <si>
    <t xml:space="preserve">Marke / Typ</t>
  </si>
  <si>
    <t xml:space="preserve">Dienstreise Start</t>
  </si>
  <si>
    <t xml:space="preserve">Projekt / Kostenstelle</t>
  </si>
  <si>
    <t>Kennzeichen</t>
  </si>
  <si>
    <t xml:space="preserve">Dienstreise Ende</t>
  </si>
  <si>
    <t>Einsatzort</t>
  </si>
  <si>
    <t xml:space="preserve">Reisedauer in Stunden</t>
  </si>
  <si>
    <t>Startdatum</t>
  </si>
  <si>
    <t>Reisewegbeschreibung</t>
  </si>
  <si>
    <t>Datum</t>
  </si>
  <si>
    <t>Abfahrtszeit</t>
  </si>
  <si>
    <t>Ankunftszeit</t>
  </si>
  <si>
    <t xml:space="preserve">km-Stand Abfahrt</t>
  </si>
  <si>
    <t xml:space="preserve">km-Stand Ankunft</t>
  </si>
  <si>
    <t xml:space="preserve">gefahrene km</t>
  </si>
  <si>
    <t xml:space="preserve">Anz. Mitreisende</t>
  </si>
  <si>
    <t xml:space="preserve">Taggeld (24/h Regel)</t>
  </si>
  <si>
    <t xml:space="preserve">Anspruch auf Taggeld?</t>
  </si>
  <si>
    <t>Enddatum</t>
  </si>
  <si>
    <t xml:space="preserve">Taggeld gekürzt?</t>
  </si>
  <si>
    <t>Rückkehrzeit</t>
  </si>
  <si>
    <t xml:space="preserve">Summe Taggeld</t>
  </si>
  <si>
    <t>Kilometergeld</t>
  </si>
  <si>
    <t>Mitfahrer-Zuschlag</t>
  </si>
  <si>
    <t xml:space="preserve">Summe Kilometergeld</t>
  </si>
  <si>
    <t>Gesamtbetrag</t>
  </si>
  <si>
    <t xml:space="preserve">Dienstreise 2</t>
  </si>
  <si>
    <t xml:space="preserve">Dienstreise 3</t>
  </si>
  <si>
    <t xml:space="preserve">Dienstreise 4</t>
  </si>
  <si>
    <t xml:space="preserve">Dienstreise 5</t>
  </si>
  <si>
    <t>Reisekosten</t>
  </si>
  <si>
    <t>Reise</t>
  </si>
  <si>
    <t xml:space="preserve">Kilometergeld gesamt</t>
  </si>
  <si>
    <t xml:space="preserve">Taggeld gesamt</t>
  </si>
  <si>
    <t xml:space="preserve">Summe Reise</t>
  </si>
  <si>
    <t xml:space="preserve">Reise 1</t>
  </si>
  <si>
    <t xml:space="preserve">Reise 2</t>
  </si>
  <si>
    <t xml:space="preserve">Reise 3</t>
  </si>
  <si>
    <t xml:space="preserve">Reise 4</t>
  </si>
  <si>
    <t xml:space="preserve">Reise 5</t>
  </si>
  <si>
    <t xml:space="preserve">Auszahlung gesamt: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</si>
</sst>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_ * #,##0.00_ ;_ * \-#,##0.00_ ;_ * &quot;-&quot;??_ ;_ @_ "/>
    <numFmt numFmtId="165" formatCode="&quot;€&quot;\ #,##0.00"/>
    <numFmt numFmtId="166" formatCode="[$]hh:mm;@"/>
    <numFmt numFmtId="167" formatCode="_ * #,##0_ ;_ * \-#,##0_ ;_ * &quot;-&quot;??_ ;_ @_ "/>
    <numFmt numFmtId="168" formatCode="dd/mm/yyyy"/>
    <numFmt numFmtId="169" formatCode="dd/mm/yy"/>
    <numFmt numFmtId="170" formatCode="#,##0.00\ [$€-C07]"/>
  </numFmts>
  <fonts count="7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sz val="12.000000"/>
      <color theme="0"/>
      <name val="Calibri"/>
      <scheme val="minor"/>
    </font>
    <font>
      <b/>
      <sz val="13.000000"/>
      <color theme="3"/>
      <name val="Calibri"/>
      <scheme val="minor"/>
    </font>
    <font>
      <sz val="18.000000"/>
      <color theme="0"/>
      <name val="Calibri"/>
      <scheme val="minor"/>
    </font>
    <font>
      <b/>
      <sz val="11.000000"/>
      <name val="Calibri"/>
    </font>
    <font>
      <b/>
      <sz val="12.000000"/>
      <color theme="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E8EEF7"/>
      </patternFill>
    </fill>
  </fills>
  <borders count="1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ck">
        <color theme="4" tint="0.499984740745262"/>
      </bottom>
      <diagonal style="none"/>
    </border>
    <border>
      <left style="none"/>
      <right style="none"/>
      <top style="none"/>
      <bottom style="thick">
        <color theme="4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CCCCCC"/>
      </bottom>
      <diagonal style="none"/>
    </border>
    <border>
      <left style="none"/>
      <right style="none"/>
      <top style="thin">
        <color rgb="FFCCCCCC"/>
      </top>
      <bottom style="thin">
        <color rgb="FFCCCCCC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none"/>
      <right style="none"/>
      <top style="thin">
        <color theme="4"/>
      </top>
      <bottom style="double">
        <color theme="4"/>
      </bottom>
      <diagonal style="none"/>
    </border>
    <border>
      <left style="none"/>
      <right style="thin">
        <color rgb="FFCCCCCC"/>
      </right>
      <top style="none"/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none"/>
      <bottom style="thin">
        <color rgb="FFCCCCCC"/>
      </bottom>
      <diagonal style="none"/>
    </border>
    <border>
      <left style="thin">
        <color rgb="FFCCCCCC"/>
      </left>
      <right style="none"/>
      <top style="none"/>
      <bottom style="thin">
        <color rgb="FFCCCCCC"/>
      </bottom>
      <diagonal style="none"/>
    </border>
    <border>
      <left style="none"/>
      <right style="none"/>
      <top style="double">
        <color theme="4"/>
      </top>
      <bottom style="none"/>
      <diagonal style="none"/>
    </border>
  </borders>
  <cellStyleXfs count="6">
    <xf fontId="0" fillId="0" borderId="0" numFmtId="0" applyNumberFormat="1" applyFont="1" applyFill="1" applyBorder="1"/>
    <xf fontId="1" fillId="2" borderId="0" numFmtId="0" applyNumberFormat="0" applyFont="1" applyFill="1" applyBorder="0" applyProtection="0"/>
    <xf fontId="1" fillId="3" borderId="0" numFmtId="0" applyNumberFormat="0" applyFont="1" applyFill="1" applyBorder="0" applyProtection="0"/>
    <xf fontId="2" fillId="4" borderId="0" numFmtId="0" applyNumberFormat="0" applyFont="1" applyFill="1" applyBorder="0" applyProtection="0"/>
    <xf fontId="0" fillId="0" borderId="0" numFmtId="164" applyNumberFormat="1" applyFont="0" applyFill="0" applyBorder="0" applyProtection="0"/>
    <xf fontId="3" fillId="0" borderId="1" numFmtId="0" applyNumberFormat="0" applyFont="1" applyFill="0" applyBorder="1" applyProtection="0"/>
  </cellStyleXfs>
  <cellXfs count="47">
    <xf fontId="0" fillId="0" borderId="0" numFmtId="0" xfId="0"/>
    <xf fontId="2" fillId="4" borderId="2" numFmtId="0" xfId="3" applyFont="1" applyFill="1" applyBorder="1"/>
    <xf fontId="0" fillId="0" borderId="3" numFmtId="0" xfId="0" applyBorder="1"/>
    <xf fontId="0" fillId="0" borderId="0" numFmtId="0" xfId="0" applyAlignment="1">
      <alignment horizontal="right"/>
    </xf>
    <xf fontId="4" fillId="4" borderId="2" numFmtId="0" xfId="3" applyFont="1" applyFill="1" applyBorder="1" applyAlignment="1">
      <alignment horizontal="center"/>
    </xf>
    <xf fontId="3" fillId="5" borderId="0" numFmtId="0" xfId="5" applyFont="1" applyFill="1" applyAlignment="1">
      <alignment horizontal="left"/>
    </xf>
    <xf fontId="1" fillId="2" borderId="4" numFmtId="0" xfId="1" applyFont="1" applyFill="1" applyBorder="1" applyAlignment="1">
      <alignment horizontal="left"/>
    </xf>
    <xf fontId="1" fillId="2" borderId="5" numFmtId="0" xfId="1" applyFont="1" applyFill="1" applyBorder="1" applyAlignment="1">
      <alignment horizontal="left"/>
    </xf>
    <xf fontId="1" fillId="2" borderId="6" numFmtId="0" xfId="1" applyFont="1" applyFill="1" applyBorder="1" applyAlignment="1">
      <alignment horizontal="left"/>
    </xf>
    <xf fontId="0" fillId="0" borderId="0" numFmtId="0" xfId="0" applyProtection="1">
      <protection locked="0"/>
    </xf>
    <xf fontId="0" fillId="0" borderId="0" numFmtId="0" xfId="0" applyAlignment="1">
      <alignment horizontal="center"/>
    </xf>
    <xf fontId="0" fillId="0" borderId="0" numFmtId="0" xfId="0" applyAlignment="1">
      <alignment horizontal="left"/>
    </xf>
    <xf fontId="3" fillId="5" borderId="1" numFmtId="0" xfId="5" applyFont="1" applyFill="1" applyBorder="1" applyAlignment="1">
      <alignment horizontal="left"/>
    </xf>
    <xf fontId="1" fillId="2" borderId="3" numFmtId="0" xfId="1" applyFont="1" applyFill="1" applyBorder="1" applyProtection="1"/>
    <xf fontId="0" fillId="0" borderId="3" numFmtId="0" xfId="0" applyBorder="1" applyAlignment="1" applyProtection="1">
      <alignment horizontal="right" vertical="center" wrapText="1"/>
      <protection locked="0"/>
    </xf>
    <xf fontId="1" fillId="2" borderId="0" numFmtId="0" xfId="1" applyFont="1" applyFill="1" applyAlignment="1">
      <alignment horizontal="right"/>
    </xf>
    <xf fontId="0" fillId="0" borderId="0" numFmtId="0" xfId="0" applyAlignment="1" applyProtection="1">
      <alignment horizontal="right"/>
      <protection locked="0"/>
    </xf>
    <xf fontId="1" fillId="2" borderId="3" numFmtId="0" xfId="1" applyFont="1" applyFill="1" applyBorder="1"/>
    <xf fontId="0" fillId="0" borderId="3" numFmtId="22" xfId="0" applyNumberFormat="1" applyBorder="1" applyAlignment="1">
      <alignment horizontal="right"/>
    </xf>
    <xf fontId="0" fillId="0" borderId="3" numFmtId="0" xfId="0" applyBorder="1" applyAlignment="1">
      <alignment horizontal="right"/>
    </xf>
    <xf fontId="0" fillId="0" borderId="3" numFmtId="14" xfId="0" applyNumberFormat="1" applyBorder="1" applyAlignment="1" applyProtection="1">
      <alignment horizontal="right" vertical="center"/>
      <protection locked="0"/>
    </xf>
    <xf fontId="1" fillId="3" borderId="0" numFmtId="0" xfId="2" applyFont="1" applyFill="1" applyAlignment="1">
      <alignment horizontal="left" vertical="center"/>
    </xf>
    <xf fontId="1" fillId="3" borderId="0" numFmtId="0" xfId="2" applyFont="1" applyFill="1" applyAlignment="1">
      <alignment horizontal="right" vertical="center"/>
    </xf>
    <xf fontId="0" fillId="0" borderId="3" numFmtId="165" xfId="0" applyNumberFormat="1" applyBorder="1" applyAlignment="1">
      <alignment horizontal="right"/>
    </xf>
    <xf fontId="0" fillId="0" borderId="3" numFmtId="166" xfId="0" applyNumberFormat="1" applyBorder="1" applyAlignment="1" applyProtection="1">
      <alignment horizontal="right" vertical="center"/>
      <protection locked="0"/>
    </xf>
    <xf fontId="0" fillId="0" borderId="0" numFmtId="0" xfId="0" applyAlignment="1" applyProtection="1">
      <alignment horizontal="left" vertical="center" wrapText="1"/>
      <protection locked="0"/>
    </xf>
    <xf fontId="0" fillId="0" borderId="0" numFmtId="14" xfId="0" applyNumberFormat="1" applyAlignment="1" applyProtection="1">
      <alignment horizontal="right" vertical="center"/>
      <protection locked="0"/>
    </xf>
    <xf fontId="0" fillId="0" borderId="0" numFmtId="166" xfId="0" applyNumberFormat="1" applyAlignment="1" applyProtection="1">
      <alignment horizontal="right" vertical="center"/>
      <protection locked="0"/>
    </xf>
    <xf fontId="0" fillId="0" borderId="0" numFmtId="167" xfId="4" applyNumberFormat="1" applyAlignment="1" applyProtection="1">
      <alignment horizontal="right" vertical="center"/>
      <protection locked="0"/>
    </xf>
    <xf fontId="0" fillId="0" borderId="0" numFmtId="167" xfId="4" applyNumberFormat="1" applyAlignment="1">
      <alignment horizontal="right" vertical="center"/>
    </xf>
    <xf fontId="0" fillId="0" borderId="0" numFmtId="167" xfId="4" applyNumberFormat="1" applyAlignment="1" applyProtection="1">
      <alignment vertical="center"/>
      <protection locked="0"/>
    </xf>
    <xf fontId="2" fillId="4" borderId="7" numFmtId="0" xfId="3" applyFont="1" applyFill="1" applyBorder="1"/>
    <xf fontId="2" fillId="4" borderId="7" numFmtId="165" xfId="3" applyNumberFormat="1" applyFont="1" applyFill="1" applyBorder="1" applyAlignment="1">
      <alignment horizontal="right"/>
    </xf>
    <xf fontId="0" fillId="0" borderId="0" numFmtId="0" xfId="0" applyAlignment="1">
      <alignment horizontal="left" vertical="center"/>
    </xf>
    <xf fontId="0" fillId="0" borderId="0" numFmtId="14" xfId="0" applyNumberFormat="1" applyAlignment="1">
      <alignment horizontal="right" vertical="center"/>
    </xf>
    <xf fontId="0" fillId="0" borderId="0" numFmtId="166" xfId="0" applyNumberFormat="1" applyAlignment="1">
      <alignment horizontal="right" vertical="center"/>
    </xf>
    <xf fontId="0" fillId="0" borderId="0" numFmtId="167" xfId="4" applyNumberFormat="1"/>
    <xf fontId="0" fillId="0" borderId="0" numFmtId="0" xfId="0" applyAlignment="1" applyProtection="1">
      <alignment horizontal="center"/>
    </xf>
    <xf fontId="0" fillId="0" borderId="3" numFmtId="168" xfId="0" applyNumberFormat="1" applyBorder="1" applyAlignment="1" applyProtection="1">
      <alignment horizontal="right" vertical="center" wrapText="1"/>
      <protection locked="0"/>
    </xf>
    <xf fontId="0" fillId="0" borderId="3" numFmtId="168" xfId="0" applyNumberFormat="1" applyBorder="1" applyAlignment="1" applyProtection="1">
      <alignment horizontal="right" vertical="center"/>
      <protection locked="0"/>
    </xf>
    <xf fontId="5" fillId="6" borderId="8" numFmtId="0" xfId="0" applyFont="1" applyFill="1" applyBorder="1"/>
    <xf fontId="5" fillId="6" borderId="9" numFmtId="0" xfId="0" applyFont="1" applyFill="1" applyBorder="1" applyAlignment="1">
      <alignment horizontal="right"/>
    </xf>
    <xf fontId="5" fillId="6" borderId="10" numFmtId="0" xfId="0" applyFont="1" applyFill="1" applyBorder="1" applyAlignment="1">
      <alignment horizontal="right"/>
    </xf>
    <xf fontId="0" fillId="0" borderId="6" numFmtId="0" xfId="0" applyBorder="1"/>
    <xf fontId="0" fillId="0" borderId="4" numFmtId="165" xfId="0" applyNumberFormat="1" applyBorder="1" applyAlignment="1">
      <alignment horizontal="right"/>
    </xf>
    <xf fontId="6" fillId="4" borderId="11" numFmtId="0" xfId="3" applyFont="1" applyFill="1" applyBorder="1" applyAlignment="1">
      <alignment horizontal="right"/>
    </xf>
    <xf fontId="6" fillId="4" borderId="11" numFmtId="165" xfId="3" applyNumberFormat="1" applyFont="1" applyFill="1" applyBorder="1"/>
  </cellXfs>
  <cellStyles count="6">
    <cellStyle name="20% - Accent1" xfId="1" builtinId="30"/>
    <cellStyle name="60% - Accent1" xfId="2" builtinId="32"/>
    <cellStyle name="Accent1" xfId="3" builtinId="29"/>
    <cellStyle name="Comma" xfId="4" builtinId="3"/>
    <cellStyle name="Heading 2" xfId="5" builtinId="17"/>
    <cellStyle name="Normal" xfId="0" builtinId="0"/>
  </cellStyles>
  <dxfs count="44"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alignment horizontal="left" indent="0" readingOrder="0" relativeIndent="0" shrinkToFit="0" textRotation="0" vertical="center" wrapText="1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9" formatCode="dd/mm/yy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alignment horizontal="left" indent="0" readingOrder="0" relativeIndent="0" shrinkToFit="0" textRotation="0" vertical="center" wrapText="1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9" formatCode="dd/mm/yy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alignment horizontal="left" indent="0" readingOrder="0" relativeIndent="0" shrinkToFit="0" textRotation="0" vertical="center" wrapText="1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9" formatCode="dd/mm/yy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alignment horizontal="left" indent="0" readingOrder="0" relativeIndent="0" shrinkToFit="0" textRotation="0" vertical="center" wrapText="1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9" formatCode="dd/mm/yy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alignment horizontal="left" indent="0" readingOrder="0" relativeIndent="0" shrinkToFit="0" textRotation="0" vertical="center" wrapText="1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9" formatCode="dd/mm/yy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numFmt numFmtId="166" formatCode="[$]hh:mm;@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font>
        <b val="0"/>
        <i val="0"/>
        <strike val="0"/>
        <u val="none"/>
        <vertAlign val="baseline"/>
        <sz val="11.000000"/>
        <color theme="1"/>
        <name val="Calibri"/>
        <scheme val="minor"/>
      </font>
      <numFmt numFmtId="167" formatCode="_ * #,##0_ ;_ * \-#,##0_ ;_ * &quot;-&quot;??_ ;_ @_ "/>
      <alignment horizontal="right" indent="0" readingOrder="0" relativeIndent="0" shrinkToFit="0" textRotation="0" vertical="center" wrapText="0"/>
    </dxf>
    <dxf>
      <border>
        <left style="none"/>
        <right style="thin">
          <color rgb="FFCCCCCC"/>
        </right>
        <top style="thin">
          <color rgb="FFCCCCCC"/>
        </top>
        <bottom style="thin">
          <color rgb="FFCCCCCC"/>
        </bottom>
        <diagonal style="none"/>
      </border>
    </dxf>
    <dxf>
      <numFmt numFmtId="165" formatCode="&quot;€&quot;\ #,##0.00"/>
      <alignment horizontal="right" indent="0" readingOrder="0" relativeIndent="0" shrinkToFit="0" textRotation="0" vertical="bottom" wrapText="0"/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diagonal style="none"/>
      </border>
    </dxf>
    <dxf>
      <numFmt numFmtId="165" formatCode="&quot;€&quot;\ #,##0.00"/>
      <alignment horizontal="right" indent="0" readingOrder="0" relativeIndent="0" shrinkToFit="0" textRotation="0" vertical="bottom" wrapText="0"/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diagonal style="none"/>
      </border>
    </dxf>
    <dxf>
      <numFmt numFmtId="170" formatCode="#,##0.00\ [$€-C07]"/>
      <alignment horizontal="right" indent="0" readingOrder="0" relativeIndent="0" shrinkToFit="0" textRotation="0" vertical="bottom" wrapText="0"/>
      <border>
        <left style="thin">
          <color rgb="FFCCCCCC"/>
        </left>
        <right style="none"/>
        <top style="thin">
          <color rgb="FFCCCCCC"/>
        </top>
        <bottom style="thin">
          <color rgb="FFCCCCCC"/>
        </bottom>
        <diagonal style="none"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0" Type="http://schemas.openxmlformats.org/officeDocument/2006/relationships/worksheet" Target="worksheets/sheet6.xml"/><Relationship  Id="rId11" Type="http://schemas.openxmlformats.org/officeDocument/2006/relationships/worksheet" Target="worksheets/sheet7.xml"/><Relationship  Id="rId12" Type="http://schemas.openxmlformats.org/officeDocument/2006/relationships/theme" Target="theme/theme1.xml"/><Relationship  Id="rId13" Type="http://schemas.openxmlformats.org/officeDocument/2006/relationships/sharedStrings" Target="sharedStrings.xml"/><Relationship  Id="rId14" Type="http://schemas.openxmlformats.org/officeDocument/2006/relationships/styles" Target="styles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1" ref="D13:K54">
  <autoFilter ref="D13:K54"/>
  <tableColumns count="8">
    <tableColumn id="1" name="Reisewegbeschreibung" dataDxfId="0"/>
    <tableColumn id="2" name="Datum" dataDxfId="1"/>
    <tableColumn id="3" name="Abfahrtszeit" dataDxfId="2"/>
    <tableColumn id="4" name="Ankunftszeit" dataDxfId="3"/>
    <tableColumn id="5" name="km-Stand Abfahrt" dataDxfId="4"/>
    <tableColumn id="6" name="km-Stand Ankunft" dataDxfId="5"/>
    <tableColumn id="7" name="gefahrene km" dataDxfId="6"/>
    <tableColumn id="8" name="Anz. Mitreisende" dataDxfId="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13456" ref="D13:K54">
  <autoFilter ref="D13:K54"/>
  <tableColumns count="8">
    <tableColumn id="1" name="Reisewegbeschreibung" dataDxfId="8"/>
    <tableColumn id="2" name="Datum" dataDxfId="9"/>
    <tableColumn id="3" name="Abfahrtszeit" dataDxfId="10"/>
    <tableColumn id="4" name="Ankunftszeit" dataDxfId="11"/>
    <tableColumn id="5" name="km-Stand Abfahrt" dataDxfId="12"/>
    <tableColumn id="6" name="km-Stand Ankunft" dataDxfId="13"/>
    <tableColumn id="7" name="gefahrene km" dataDxfId="14"/>
    <tableColumn id="8" name="Anz. Mitreisende" dataDxfId="1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345" ref="D13:K54">
  <autoFilter ref="D13:K54"/>
  <tableColumns count="8">
    <tableColumn id="1" name="Reisewegbeschreibung" dataDxfId="16"/>
    <tableColumn id="2" name="Datum" dataDxfId="17"/>
    <tableColumn id="3" name="Abfahrtszeit" dataDxfId="18"/>
    <tableColumn id="4" name="Ankunftszeit" dataDxfId="19"/>
    <tableColumn id="5" name="km-Stand Abfahrt" dataDxfId="20"/>
    <tableColumn id="6" name="km-Stand Ankunft" dataDxfId="21"/>
    <tableColumn id="7" name="gefahrene km" dataDxfId="22"/>
    <tableColumn id="8" name="Anz. Mitreisende" dataDxfId="2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134" ref="D13:K54">
  <autoFilter ref="D13:K54"/>
  <tableColumns count="8">
    <tableColumn id="1" name="Reisewegbeschreibung" dataDxfId="24"/>
    <tableColumn id="2" name="Datum" dataDxfId="25"/>
    <tableColumn id="3" name="Abfahrtszeit" dataDxfId="26"/>
    <tableColumn id="4" name="Ankunftszeit" dataDxfId="27"/>
    <tableColumn id="5" name="km-Stand Abfahrt" dataDxfId="28"/>
    <tableColumn id="6" name="km-Stand Ankunft" dataDxfId="29"/>
    <tableColumn id="7" name="gefahrene km" dataDxfId="30"/>
    <tableColumn id="8" name="Anz. Mitreisende" dataDxfId="3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3" ref="D13:K54">
  <autoFilter ref="D13:K54"/>
  <tableColumns count="8">
    <tableColumn id="1" name="Reisewegbeschreibung" dataDxfId="32"/>
    <tableColumn id="2" name="Datum" dataDxfId="33"/>
    <tableColumn id="3" name="Abfahrtszeit" dataDxfId="34"/>
    <tableColumn id="4" name="Ankunftszeit" dataDxfId="35"/>
    <tableColumn id="5" name="km-Stand Abfahrt" dataDxfId="36"/>
    <tableColumn id="6" name="km-Stand Ankunft" dataDxfId="37"/>
    <tableColumn id="7" name="gefahrene km" dataDxfId="38"/>
    <tableColumn id="8" name="Anz. Mitreisende" dataDxfId="3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6" ref="A2:D7">
  <autoFilter ref="A2:D7"/>
  <tableColumns count="4">
    <tableColumn id="1" name="Reise" dataDxfId="40"/>
    <tableColumn id="2" name="Kilometergeld gesamt" dataDxfId="41"/>
    <tableColumn id="3" name="Taggeld gesamt" dataDxfId="42"/>
    <tableColumn id="4" name="Summe Reise" dataDxfId="43"/>
  </tableColumns>
  <tableStyleInfo name="TableStyleMedium16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zoomScale="129" workbookViewId="0">
      <selection activeCell="E20" activeCellId="0" sqref="E20"/>
    </sheetView>
  </sheetViews>
  <sheetFormatPr defaultColWidth="8.85546875" defaultRowHeight="14.25"/>
  <cols>
    <col bestFit="1" customWidth="1" min="1" max="1" width="25.57421875"/>
    <col customWidth="1" min="2" max="2" width="6.140625"/>
    <col customWidth="1" min="3" max="3" width="42.7109375"/>
  </cols>
  <sheetData>
    <row r="1" ht="16.5">
      <c r="A1" s="1" t="s">
        <v>0</v>
      </c>
      <c r="B1" s="1" t="s">
        <v>1</v>
      </c>
      <c r="C1" s="1" t="s">
        <v>2</v>
      </c>
    </row>
    <row r="2" ht="15.75">
      <c r="A2" s="2" t="s">
        <v>3</v>
      </c>
      <c r="B2" s="2">
        <v>0.5</v>
      </c>
      <c r="C2" s="2" t="s">
        <v>4</v>
      </c>
    </row>
    <row r="3">
      <c r="A3" s="2" t="s">
        <v>5</v>
      </c>
      <c r="B3" s="2">
        <v>0.14999999999999999</v>
      </c>
      <c r="C3" s="2" t="s">
        <v>6</v>
      </c>
    </row>
    <row r="4">
      <c r="A4" s="2" t="s">
        <v>7</v>
      </c>
      <c r="B4" s="2">
        <v>30</v>
      </c>
      <c r="C4" s="2" t="s">
        <v>8</v>
      </c>
    </row>
    <row r="5">
      <c r="A5" s="2" t="s">
        <v>9</v>
      </c>
      <c r="B5" s="2">
        <v>15</v>
      </c>
      <c r="C5" s="2" t="s">
        <v>10</v>
      </c>
    </row>
  </sheetData>
  <sheetProtection autoFilter="1" deleteColumns="1" deleteRows="1" formatCells="1" formatColumns="1" formatRows="1" insertColumns="1" insertHyperlinks="1" insertRows="1" objects="0" pivotTables="1" scenarios="0" selectLockedCells="0" selectUnlockedCells="0" sheet="1" sort="1"/>
  <printOptions headings="0" gridLines="0"/>
  <pageMargins left="0.75" right="0.75" top="1" bottom="1" header="0.5" footer="0.5"/>
  <pageSetup paperSize="9" scale="100" fitToWidth="1" fitToHeight="1" pageOrder="downThenOver" orientation="landscape" usePrinterDefaults="1" blackAndWhite="0" draft="0" cellComments="none" useFirstPageNumber="0" errors="displayed" horizontalDpi="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zoomScale="100" workbookViewId="0">
      <selection activeCell="B16" activeCellId="0" sqref="B16"/>
    </sheetView>
  </sheetViews>
  <sheetFormatPr defaultColWidth="8.85546875" defaultRowHeight="14.25"/>
  <cols>
    <col bestFit="1" customWidth="1" min="1" max="1" width="20.421875"/>
    <col customWidth="1" min="2" max="2" width="21.7109375"/>
    <col customWidth="1" min="3" max="3" width="5"/>
    <col customWidth="1" min="4" max="4" width="51.28515625"/>
    <col customWidth="1" min="5" max="5" style="3" width="21.42578125"/>
    <col customWidth="1" min="6" max="7" style="3" width="15.140625"/>
    <col customWidth="1" min="8" max="8" width="16.85546875"/>
    <col customWidth="1" min="9" max="9" width="17.140625"/>
    <col customWidth="1" min="10" max="10" width="15.140625"/>
    <col customWidth="1" min="11" max="11" width="16.140625"/>
    <col customWidth="1" min="12" max="12" width="5"/>
    <col bestFit="1" customWidth="1" min="13" max="13" width="28.42578125"/>
    <col bestFit="1" customWidth="1" min="14" max="14" width="19.7109375"/>
  </cols>
  <sheetData>
    <row r="1" ht="23.25">
      <c r="A1" s="4" t="s">
        <v>11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17.25">
      <c r="A2" s="5" t="s">
        <v>12</v>
      </c>
      <c r="B2" s="5"/>
      <c r="C2" s="5"/>
      <c r="D2" s="5"/>
      <c r="E2" s="5"/>
      <c r="F2"/>
      <c r="G2"/>
    </row>
    <row r="3" ht="16.5">
      <c r="A3" s="6" t="s">
        <v>13</v>
      </c>
      <c r="B3" s="7"/>
      <c r="C3" s="7"/>
      <c r="D3" s="8"/>
      <c r="E3" s="9" t="b">
        <v>1</v>
      </c>
      <c r="F3"/>
      <c r="G3"/>
    </row>
    <row r="4" ht="16.5">
      <c r="A4" s="6" t="s">
        <v>14</v>
      </c>
      <c r="B4" s="7"/>
      <c r="C4" s="7"/>
      <c r="D4" s="8"/>
      <c r="E4" s="9" t="b">
        <v>1</v>
      </c>
      <c r="F4"/>
      <c r="G4"/>
    </row>
    <row r="5" ht="16.5">
      <c r="A5" s="6" t="s">
        <v>15</v>
      </c>
      <c r="B5" s="7"/>
      <c r="C5" s="7"/>
      <c r="D5" s="8"/>
      <c r="E5" s="10">
        <v>0</v>
      </c>
      <c r="F5"/>
      <c r="G5"/>
    </row>
    <row r="6" ht="16.5">
      <c r="E6"/>
      <c r="F6"/>
      <c r="G6"/>
    </row>
    <row r="7">
      <c r="A7" s="11"/>
      <c r="B7" s="11"/>
      <c r="C7" s="11"/>
      <c r="D7" s="11"/>
      <c r="E7"/>
      <c r="F7"/>
      <c r="G7"/>
    </row>
    <row r="9" ht="17.25">
      <c r="A9" s="12" t="s">
        <v>16</v>
      </c>
      <c r="B9" s="12"/>
      <c r="D9" s="12" t="s">
        <v>17</v>
      </c>
      <c r="E9" s="12"/>
      <c r="F9" s="12"/>
      <c r="G9" s="12"/>
      <c r="H9" s="12"/>
      <c r="I9" s="12"/>
      <c r="J9" s="12"/>
      <c r="K9" s="12"/>
      <c r="M9" s="12" t="s">
        <v>18</v>
      </c>
      <c r="N9" s="12"/>
    </row>
    <row r="10" ht="16.5">
      <c r="A10" s="13" t="s">
        <v>19</v>
      </c>
      <c r="B10" s="14"/>
      <c r="D10" s="15" t="s">
        <v>20</v>
      </c>
      <c r="E10" s="16"/>
      <c r="M10" s="17" t="s">
        <v>21</v>
      </c>
      <c r="N10" s="18">
        <f>$B$13+$B$14</f>
        <v>0</v>
      </c>
    </row>
    <row r="11" ht="16.5">
      <c r="A11" s="13" t="s">
        <v>22</v>
      </c>
      <c r="B11" s="14"/>
      <c r="D11" s="15" t="s">
        <v>23</v>
      </c>
      <c r="E11" s="16"/>
      <c r="M11" s="17" t="s">
        <v>24</v>
      </c>
      <c r="N11" s="18">
        <f>$B$15+$B$16</f>
        <v>0</v>
      </c>
    </row>
    <row r="12" ht="16.5">
      <c r="A12" s="13" t="s">
        <v>25</v>
      </c>
      <c r="B12" s="14"/>
      <c r="D12" s="15"/>
      <c r="E12"/>
      <c r="F12"/>
      <c r="G12"/>
      <c r="M12" s="17" t="s">
        <v>26</v>
      </c>
      <c r="N12" s="19">
        <f>IF(OR($N$11="",$N$10="",$N$11&lt;=$N$10),0,INT((ROUND(($N$11-$N$10)*1440,0)+59)/60))</f>
        <v>0</v>
      </c>
    </row>
    <row r="13" ht="16.5">
      <c r="A13" s="13" t="s">
        <v>27</v>
      </c>
      <c r="B13" s="20"/>
      <c r="D13" s="21" t="s">
        <v>28</v>
      </c>
      <c r="E13" s="22" t="s">
        <v>29</v>
      </c>
      <c r="F13" s="22" t="s">
        <v>30</v>
      </c>
      <c r="G13" s="22" t="s">
        <v>31</v>
      </c>
      <c r="H13" s="22" t="s">
        <v>32</v>
      </c>
      <c r="I13" s="22" t="s">
        <v>33</v>
      </c>
      <c r="J13" s="22" t="s">
        <v>34</v>
      </c>
      <c r="K13" s="22" t="s">
        <v>35</v>
      </c>
      <c r="M13" s="17" t="s">
        <v>36</v>
      </c>
      <c r="N13" s="23">
        <f>IF(OR(N12="",N12&lt;=0),0,
   INT($N$12/24)*Meta!$B$4 +
   IF(MOD($N$12,24)&lt;=3,0,
      IF(MOD($N$12,24)&lt;=11, MOD($N$12,24)*(Meta!$B$4/12), Meta!$B$4)
   )
)</f>
        <v>0</v>
      </c>
    </row>
    <row r="14" ht="16.5">
      <c r="A14" s="13" t="s">
        <v>30</v>
      </c>
      <c r="B14" s="24"/>
      <c r="D14" s="25"/>
      <c r="E14" s="26"/>
      <c r="F14" s="27"/>
      <c r="G14" s="27"/>
      <c r="H14" s="28"/>
      <c r="I14" s="28"/>
      <c r="J14" s="29">
        <f t="shared" ref="J14:J54" si="0">IF(OR(H14="",H14&lt;=0),0,IF(OR(I14="",I14&lt;=0),0,I14-H14))</f>
        <v>0</v>
      </c>
      <c r="K14" s="28">
        <v>0</v>
      </c>
      <c r="M14" s="17" t="s">
        <v>37</v>
      </c>
      <c r="N14" s="3" t="b">
        <f>AND(E3,E4)</f>
        <v>1</v>
      </c>
    </row>
    <row r="15" ht="16.5">
      <c r="A15" s="13" t="s">
        <v>38</v>
      </c>
      <c r="B15" s="20"/>
      <c r="D15" s="25"/>
      <c r="E15" s="26"/>
      <c r="F15" s="27"/>
      <c r="G15" s="27"/>
      <c r="H15" s="30"/>
      <c r="I15" s="28"/>
      <c r="J15" s="29">
        <f t="shared" si="0"/>
        <v>0</v>
      </c>
      <c r="K15" s="28">
        <v>0</v>
      </c>
      <c r="M15" s="17" t="s">
        <v>39</v>
      </c>
      <c r="N15" s="3" t="b">
        <f>OR(E5,E6)</f>
        <v>0</v>
      </c>
    </row>
    <row r="16" ht="16.5">
      <c r="A16" s="13" t="s">
        <v>40</v>
      </c>
      <c r="B16" s="24"/>
      <c r="D16" s="25"/>
      <c r="E16" s="26"/>
      <c r="F16" s="27"/>
      <c r="G16" s="27"/>
      <c r="H16" s="30"/>
      <c r="I16" s="28"/>
      <c r="J16" s="29">
        <f t="shared" si="0"/>
        <v>0</v>
      </c>
      <c r="K16" s="28">
        <v>0</v>
      </c>
      <c r="M16" s="17" t="s">
        <v>41</v>
      </c>
      <c r="N16" s="23">
        <f>MAX(0,N13-IF(N15,Meta!$B$5*$E$5,0))</f>
        <v>0</v>
      </c>
    </row>
    <row r="17" ht="16.5">
      <c r="D17" s="25"/>
      <c r="E17" s="26"/>
      <c r="F17" s="27"/>
      <c r="G17" s="27"/>
      <c r="H17" s="30"/>
      <c r="I17" s="28"/>
      <c r="J17" s="29">
        <f t="shared" si="0"/>
        <v>0</v>
      </c>
      <c r="K17" s="28">
        <v>0</v>
      </c>
      <c r="M17" s="17" t="s">
        <v>42</v>
      </c>
      <c r="N17" s="23">
        <f>SUM(J14:J54)*Meta!$B$2</f>
        <v>0</v>
      </c>
    </row>
    <row r="18" ht="16.5">
      <c r="D18" s="25"/>
      <c r="E18" s="26"/>
      <c r="F18" s="27"/>
      <c r="G18" s="27"/>
      <c r="H18" s="30"/>
      <c r="I18" s="28"/>
      <c r="J18" s="29">
        <f t="shared" si="0"/>
        <v>0</v>
      </c>
      <c r="K18" s="28">
        <v>0</v>
      </c>
      <c r="M18" s="17" t="s">
        <v>43</v>
      </c>
      <c r="N18" s="23">
        <f>SUM(J14:J54*K14:K54)*Meta!$B$3</f>
        <v>0</v>
      </c>
    </row>
    <row r="19" ht="16.5">
      <c r="D19" s="25"/>
      <c r="E19" s="26"/>
      <c r="F19" s="27"/>
      <c r="G19" s="27"/>
      <c r="H19" s="30"/>
      <c r="I19" s="28"/>
      <c r="J19" s="29">
        <f t="shared" si="0"/>
        <v>0</v>
      </c>
      <c r="K19" s="28">
        <v>0</v>
      </c>
      <c r="M19" s="17" t="s">
        <v>44</v>
      </c>
      <c r="N19" s="23">
        <f>N17+N18</f>
        <v>0</v>
      </c>
    </row>
    <row r="20" ht="16.5">
      <c r="D20" s="25"/>
      <c r="E20" s="26"/>
      <c r="F20" s="27"/>
      <c r="G20" s="27"/>
      <c r="H20" s="30"/>
      <c r="I20" s="28"/>
      <c r="J20" s="29">
        <f t="shared" si="0"/>
        <v>0</v>
      </c>
      <c r="K20" s="28">
        <v>0</v>
      </c>
      <c r="M20" s="31" t="s">
        <v>45</v>
      </c>
      <c r="N20" s="32">
        <f>IF(N14,SUM($N$19,$N$16),N19)</f>
        <v>0</v>
      </c>
    </row>
    <row r="21" ht="15.75">
      <c r="D21" s="25"/>
      <c r="E21" s="26"/>
      <c r="F21" s="27"/>
      <c r="G21" s="27"/>
      <c r="H21" s="30"/>
      <c r="I21" s="28"/>
      <c r="J21" s="29">
        <f t="shared" si="0"/>
        <v>0</v>
      </c>
      <c r="K21" s="28">
        <v>0</v>
      </c>
    </row>
    <row r="22">
      <c r="D22" s="25"/>
      <c r="E22" s="26"/>
      <c r="F22" s="27"/>
      <c r="G22" s="27"/>
      <c r="H22" s="30"/>
      <c r="I22" s="28"/>
      <c r="J22" s="29">
        <f t="shared" si="0"/>
        <v>0</v>
      </c>
      <c r="K22" s="28">
        <v>0</v>
      </c>
    </row>
    <row r="23">
      <c r="D23" s="25"/>
      <c r="E23" s="26"/>
      <c r="F23" s="27"/>
      <c r="G23" s="27"/>
      <c r="H23" s="30"/>
      <c r="I23" s="28"/>
      <c r="J23" s="29">
        <f t="shared" si="0"/>
        <v>0</v>
      </c>
      <c r="K23" s="28">
        <v>0</v>
      </c>
    </row>
    <row r="24">
      <c r="D24" s="25"/>
      <c r="E24" s="26"/>
      <c r="F24" s="27"/>
      <c r="G24" s="27"/>
      <c r="H24" s="30"/>
      <c r="I24" s="28"/>
      <c r="J24" s="29">
        <f t="shared" si="0"/>
        <v>0</v>
      </c>
      <c r="K24" s="28">
        <v>0</v>
      </c>
    </row>
    <row r="25">
      <c r="D25" s="25"/>
      <c r="E25" s="26"/>
      <c r="F25" s="27"/>
      <c r="G25" s="27"/>
      <c r="H25" s="30"/>
      <c r="I25" s="28"/>
      <c r="J25" s="29">
        <f t="shared" si="0"/>
        <v>0</v>
      </c>
      <c r="K25" s="28">
        <v>0</v>
      </c>
    </row>
    <row r="26">
      <c r="D26" s="25"/>
      <c r="E26" s="26"/>
      <c r="F26" s="27"/>
      <c r="G26" s="27"/>
      <c r="H26" s="30"/>
      <c r="I26" s="28"/>
      <c r="J26" s="29">
        <f t="shared" si="0"/>
        <v>0</v>
      </c>
      <c r="K26" s="28">
        <v>0</v>
      </c>
    </row>
    <row r="27">
      <c r="D27" s="25"/>
      <c r="E27" s="26"/>
      <c r="F27" s="27"/>
      <c r="G27" s="27"/>
      <c r="H27" s="30"/>
      <c r="I27" s="28"/>
      <c r="J27" s="29">
        <f t="shared" si="0"/>
        <v>0</v>
      </c>
      <c r="K27" s="28">
        <v>0</v>
      </c>
    </row>
    <row r="28">
      <c r="D28" s="25"/>
      <c r="E28" s="26"/>
      <c r="F28" s="27"/>
      <c r="G28" s="27"/>
      <c r="H28" s="30"/>
      <c r="I28" s="28"/>
      <c r="J28" s="29">
        <f t="shared" si="0"/>
        <v>0</v>
      </c>
      <c r="K28" s="28">
        <v>0</v>
      </c>
    </row>
    <row r="29">
      <c r="D29" s="25"/>
      <c r="E29" s="26"/>
      <c r="F29" s="27"/>
      <c r="G29" s="27"/>
      <c r="H29" s="30"/>
      <c r="I29" s="28"/>
      <c r="J29" s="29">
        <f t="shared" si="0"/>
        <v>0</v>
      </c>
      <c r="K29" s="28">
        <v>0</v>
      </c>
    </row>
    <row r="30">
      <c r="D30" s="25"/>
      <c r="E30" s="26"/>
      <c r="F30" s="27"/>
      <c r="G30" s="27"/>
      <c r="H30" s="30"/>
      <c r="I30" s="28"/>
      <c r="J30" s="29">
        <f t="shared" si="0"/>
        <v>0</v>
      </c>
      <c r="K30" s="28">
        <v>0</v>
      </c>
    </row>
    <row r="31">
      <c r="D31" s="25"/>
      <c r="E31" s="26"/>
      <c r="F31" s="27"/>
      <c r="G31" s="27"/>
      <c r="H31" s="30"/>
      <c r="I31" s="28"/>
      <c r="J31" s="29">
        <f t="shared" si="0"/>
        <v>0</v>
      </c>
      <c r="K31" s="28">
        <v>0</v>
      </c>
    </row>
    <row r="32">
      <c r="D32" s="25"/>
      <c r="E32" s="26"/>
      <c r="F32" s="27"/>
      <c r="G32" s="27"/>
      <c r="H32" s="30"/>
      <c r="I32" s="28"/>
      <c r="J32" s="29">
        <f t="shared" si="0"/>
        <v>0</v>
      </c>
      <c r="K32" s="28">
        <v>0</v>
      </c>
    </row>
    <row r="33">
      <c r="D33" s="25"/>
      <c r="E33" s="26"/>
      <c r="F33" s="27"/>
      <c r="G33" s="27"/>
      <c r="H33" s="30"/>
      <c r="I33" s="28"/>
      <c r="J33" s="29">
        <f t="shared" si="0"/>
        <v>0</v>
      </c>
      <c r="K33" s="28">
        <v>0</v>
      </c>
    </row>
    <row r="34">
      <c r="D34" s="25"/>
      <c r="E34" s="26"/>
      <c r="F34" s="27"/>
      <c r="G34" s="27"/>
      <c r="H34" s="30"/>
      <c r="I34" s="28"/>
      <c r="J34" s="29">
        <f t="shared" si="0"/>
        <v>0</v>
      </c>
      <c r="K34" s="28">
        <v>0</v>
      </c>
    </row>
    <row r="35">
      <c r="D35" s="25"/>
      <c r="E35" s="26"/>
      <c r="F35" s="27"/>
      <c r="G35" s="27"/>
      <c r="H35" s="30"/>
      <c r="I35" s="28"/>
      <c r="J35" s="29">
        <f t="shared" si="0"/>
        <v>0</v>
      </c>
      <c r="K35" s="28">
        <v>0</v>
      </c>
    </row>
    <row r="36">
      <c r="D36" s="25"/>
      <c r="E36" s="26"/>
      <c r="F36" s="27"/>
      <c r="G36" s="27"/>
      <c r="H36" s="30"/>
      <c r="I36" s="28"/>
      <c r="J36" s="29">
        <f t="shared" si="0"/>
        <v>0</v>
      </c>
      <c r="K36" s="28">
        <v>0</v>
      </c>
    </row>
    <row r="37">
      <c r="D37" s="25"/>
      <c r="E37" s="26"/>
      <c r="F37" s="27"/>
      <c r="G37" s="27"/>
      <c r="H37" s="30"/>
      <c r="I37" s="28"/>
      <c r="J37" s="29">
        <f t="shared" si="0"/>
        <v>0</v>
      </c>
      <c r="K37" s="28">
        <v>0</v>
      </c>
    </row>
    <row r="38">
      <c r="D38" s="25"/>
      <c r="E38" s="26"/>
      <c r="F38" s="27"/>
      <c r="G38" s="27"/>
      <c r="H38" s="30"/>
      <c r="I38" s="28"/>
      <c r="J38" s="29">
        <f t="shared" si="0"/>
        <v>0</v>
      </c>
      <c r="K38" s="28">
        <v>0</v>
      </c>
    </row>
    <row r="39">
      <c r="D39" s="25"/>
      <c r="E39" s="26"/>
      <c r="F39" s="27"/>
      <c r="G39" s="27"/>
      <c r="H39" s="30"/>
      <c r="I39" s="28"/>
      <c r="J39" s="29">
        <f t="shared" si="0"/>
        <v>0</v>
      </c>
      <c r="K39" s="28">
        <v>0</v>
      </c>
    </row>
    <row r="40">
      <c r="D40" s="25"/>
      <c r="E40" s="26"/>
      <c r="F40" s="27"/>
      <c r="G40" s="27"/>
      <c r="H40" s="30"/>
      <c r="I40" s="28"/>
      <c r="J40" s="29">
        <f t="shared" si="0"/>
        <v>0</v>
      </c>
      <c r="K40" s="28">
        <v>0</v>
      </c>
    </row>
    <row r="41">
      <c r="D41" s="25"/>
      <c r="E41" s="26"/>
      <c r="F41" s="27"/>
      <c r="G41" s="27"/>
      <c r="H41" s="30"/>
      <c r="I41" s="28"/>
      <c r="J41" s="29">
        <f t="shared" si="0"/>
        <v>0</v>
      </c>
      <c r="K41" s="28">
        <v>0</v>
      </c>
    </row>
    <row r="42">
      <c r="D42" s="25"/>
      <c r="E42" s="26"/>
      <c r="F42" s="27"/>
      <c r="G42" s="27"/>
      <c r="H42" s="30"/>
      <c r="I42" s="28"/>
      <c r="J42" s="29">
        <f t="shared" si="0"/>
        <v>0</v>
      </c>
      <c r="K42" s="28">
        <v>0</v>
      </c>
    </row>
    <row r="43">
      <c r="D43" s="25"/>
      <c r="E43" s="26"/>
      <c r="F43" s="27"/>
      <c r="G43" s="27"/>
      <c r="H43" s="30"/>
      <c r="I43" s="28"/>
      <c r="J43" s="29">
        <f t="shared" si="0"/>
        <v>0</v>
      </c>
      <c r="K43" s="28">
        <v>0</v>
      </c>
    </row>
    <row r="44">
      <c r="D44" s="25"/>
      <c r="E44" s="26"/>
      <c r="F44" s="27"/>
      <c r="G44" s="27"/>
      <c r="H44" s="30"/>
      <c r="I44" s="28"/>
      <c r="J44" s="29">
        <f t="shared" si="0"/>
        <v>0</v>
      </c>
      <c r="K44" s="28">
        <v>0</v>
      </c>
    </row>
    <row r="45">
      <c r="D45" s="25"/>
      <c r="E45" s="26"/>
      <c r="F45" s="27"/>
      <c r="G45" s="27"/>
      <c r="H45" s="30"/>
      <c r="I45" s="28"/>
      <c r="J45" s="29">
        <f t="shared" si="0"/>
        <v>0</v>
      </c>
      <c r="K45" s="28">
        <v>0</v>
      </c>
    </row>
    <row r="46">
      <c r="D46" s="25"/>
      <c r="E46" s="26"/>
      <c r="F46" s="27"/>
      <c r="G46" s="27"/>
      <c r="H46" s="30"/>
      <c r="I46" s="28"/>
      <c r="J46" s="29">
        <f t="shared" si="0"/>
        <v>0</v>
      </c>
      <c r="K46" s="28">
        <v>0</v>
      </c>
    </row>
    <row r="47">
      <c r="D47" s="25"/>
      <c r="E47" s="26"/>
      <c r="F47" s="27"/>
      <c r="G47" s="27"/>
      <c r="H47" s="30"/>
      <c r="I47" s="28"/>
      <c r="J47" s="29">
        <f t="shared" si="0"/>
        <v>0</v>
      </c>
      <c r="K47" s="28">
        <v>0</v>
      </c>
    </row>
    <row r="48">
      <c r="D48" s="25"/>
      <c r="E48" s="26"/>
      <c r="F48" s="27"/>
      <c r="G48" s="27"/>
      <c r="H48" s="30"/>
      <c r="I48" s="28"/>
      <c r="J48" s="29">
        <f t="shared" si="0"/>
        <v>0</v>
      </c>
      <c r="K48" s="28">
        <v>0</v>
      </c>
    </row>
    <row r="49">
      <c r="D49" s="25"/>
      <c r="E49" s="26"/>
      <c r="F49" s="27"/>
      <c r="G49" s="27"/>
      <c r="H49" s="30"/>
      <c r="I49" s="28"/>
      <c r="J49" s="29">
        <f t="shared" si="0"/>
        <v>0</v>
      </c>
      <c r="K49" s="28">
        <v>0</v>
      </c>
    </row>
    <row r="50">
      <c r="D50" s="25"/>
      <c r="E50" s="26"/>
      <c r="F50" s="27"/>
      <c r="G50" s="27"/>
      <c r="H50" s="30"/>
      <c r="I50" s="28"/>
      <c r="J50" s="29">
        <f t="shared" si="0"/>
        <v>0</v>
      </c>
      <c r="K50" s="28">
        <v>0</v>
      </c>
    </row>
    <row r="51">
      <c r="D51" s="25"/>
      <c r="E51" s="26"/>
      <c r="F51" s="27"/>
      <c r="G51" s="27"/>
      <c r="H51" s="30"/>
      <c r="I51" s="28"/>
      <c r="J51" s="29">
        <f t="shared" si="0"/>
        <v>0</v>
      </c>
      <c r="K51" s="28">
        <v>0</v>
      </c>
    </row>
    <row r="52">
      <c r="D52" s="25"/>
      <c r="E52" s="26"/>
      <c r="F52" s="27"/>
      <c r="G52" s="27"/>
      <c r="H52" s="30"/>
      <c r="I52" s="28"/>
      <c r="J52" s="29">
        <f t="shared" si="0"/>
        <v>0</v>
      </c>
      <c r="K52" s="28">
        <v>0</v>
      </c>
    </row>
    <row r="53">
      <c r="D53" s="25"/>
      <c r="E53" s="26"/>
      <c r="F53" s="27"/>
      <c r="G53" s="27"/>
      <c r="H53" s="30"/>
      <c r="I53" s="28"/>
      <c r="J53" s="29">
        <f t="shared" si="0"/>
        <v>0</v>
      </c>
      <c r="K53" s="28">
        <v>0</v>
      </c>
    </row>
    <row r="54">
      <c r="D54" s="25"/>
      <c r="E54" s="26"/>
      <c r="F54" s="27"/>
      <c r="G54" s="27"/>
      <c r="H54" s="30"/>
      <c r="I54" s="28"/>
      <c r="J54" s="29">
        <f t="shared" si="0"/>
        <v>0</v>
      </c>
      <c r="K54" s="28">
        <v>0</v>
      </c>
    </row>
    <row r="55">
      <c r="D55" s="33"/>
      <c r="E55" s="34"/>
      <c r="F55" s="35"/>
      <c r="G55" s="35"/>
      <c r="H55" s="29"/>
      <c r="I55" s="29"/>
      <c r="J55" s="36"/>
    </row>
  </sheetData>
  <sheetProtection autoFilter="1" deleteColumns="1" deleteRows="1" formatCells="1" formatColumns="1" formatRows="1" insertColumns="1" insertHyperlinks="1" insertRows="1" objects="0" pivotTables="1" scenarios="0" selectLockedCells="0" selectUnlockedCells="0" sheet="1" sort="1"/>
  <mergeCells count="9">
    <mergeCell ref="A1:N1"/>
    <mergeCell ref="A2:E2"/>
    <mergeCell ref="A3:D3"/>
    <mergeCell ref="A4:D4"/>
    <mergeCell ref="A5:D5"/>
    <mergeCell ref="A7:D7"/>
    <mergeCell ref="A9:B9"/>
    <mergeCell ref="D9:K9"/>
    <mergeCell ref="M9:N9"/>
  </mergeCells>
  <printOptions headings="0" gridLines="0"/>
  <pageMargins left="0.75" right="0.75" top="1" bottom="1" header="0.5" footer="0.5"/>
  <pageSetup paperSize="9" scale="48" fitToWidth="1" fitToHeight="1" pageOrder="downThenOver" orientation="landscape" usePrinterDefaults="1" blackAndWhite="0" draft="0" cellComments="none" useFirstPageNumber="0" errors="displayed" horizontalDpi="600" verticalDpi="60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2" operator="equal" id="{00640033-00AE-4E0B-88C7-00B1008E0082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E3</xm:sqref>
        </x14:conditionalFormatting>
        <x14:conditionalFormatting xmlns:xm="http://schemas.microsoft.com/office/excel/2006/main">
          <x14:cfRule type="cellIs" priority="13" operator="equal" id="{00880020-00C1-40B9-8F38-00C9000700AF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E3:E4</xm:sqref>
        </x14:conditionalFormatting>
        <x14:conditionalFormatting xmlns:xm="http://schemas.microsoft.com/office/excel/2006/main">
          <x14:cfRule type="cellIs" priority="10" operator="equal" id="{009600C3-0049-4A0E-8227-00DF001C0057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11" operator="equal" id="{00260055-0056-43A3-B6BB-004F00F70059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3" operator="equal" id="{00640054-0086-4BB5-8FC3-0053000600E5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4" operator="equal" id="{003600CF-00DA-4DDE-83A4-00B9001D008D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greaterThan" id="{0051009A-00C0-41F7-BBCF-00FD00AE00F6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1" operator="equal" id="{00250081-00CF-4340-B398-007A00E900B7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00E800EF-0069-4B5A-B820-001500D400D6}" type="custom" allowBlank="1" error="Kilometerangabe bei Ankunft muss größer sein als wie bei der Abfahrt!" errorStyle="stop" errorTitle="Ungültige km-Angabe" imeMode="noControl" operator="between" showDropDown="0" showErrorMessage="1" showInputMessage="1">
          <x14:formula1>
            <xm:f>I14&gt;H14</xm:f>
          </x14:formula1>
          <xm:sqref>I14:I54</xm:sqref>
        </x14:dataValidation>
        <x14:dataValidation xr:uid="{0078009A-00FE-4B82-8BD4-002F00A80086}" type="custom" allowBlank="1" error="Kilometerangabe muss größer oder gleich sein als letzter Kilometerstand!" errorStyle="stop" errorTitle="Ungültige km-Angabe" imeMode="noControl" operator="between" showDropDown="0" showErrorMessage="1" showInputMessage="1">
          <x14:formula1>
            <xm:f>H15&gt;=I14</xm:f>
          </x14:formula1>
          <xm:sqref>H15:H54</xm:sqref>
        </x14:dataValidation>
        <x14:dataValidation xr:uid="{000F00F4-0017-4257-9A7C-007D009700AC}" type="date" allowBlank="1" error="Datum muss in der Dienstreisezeit liegen!" errorStyle="stop" errorTitle="Ungültiges Datum" imeMode="noControl" operator="between" showDropDown="0" showErrorMessage="1" showInputMessage="1">
          <x14:formula1>
            <xm:f>$B$13</xm:f>
          </x14:formula1>
          <x14:formula2>
            <xm:f>$B$15</xm:f>
          </x14:formula2>
          <xm:sqref>E14:E54</xm:sqref>
        </x14:dataValidation>
        <x14:dataValidation xr:uid="{00140066-00EB-493E-B85B-006A006F0001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AND((E14+F14)&gt;=($B$13+$B$14),(E14+F14)&lt;=($B$15+$B$16))</xm:f>
          </x14:formula1>
          <xm:sqref>F14:F54</xm:sqref>
        </x14:dataValidation>
        <x14:dataValidation xr:uid="{006A0001-008E-41E4-9311-009F007B00BF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AND((E14+G14)&gt;=($B$13+$B$14),(E14+G14)&lt;=($B$15+$B$16))</xm:f>
          </x14:formula1>
          <xm:sqref>G14:G54</xm:sqref>
        </x14:dataValidation>
        <x14:dataValidation xr:uid="{00DA0032-0069-4F2E-9A0D-00CE00300037}" type="none" allowBlank="1" errorStyle="stop" imeMode="noControl" operator="between" showDropDown="0" showErrorMessage="1" showInputMessage="1">
          <x14:formula1>
            <xm:f>"TRUE,FALSE"</xm:f>
          </x14:formula1>
          <xm:sqref>E3</xm:sqref>
        </x14:dataValidation>
        <x14:dataValidation xr:uid="{00C70067-0072-47C6-B6A4-007E00AF0000}" type="none" allowBlank="1" errorStyle="stop" imeMode="noControl" operator="between" showDropDown="0" showErrorMessage="1" showInputMessage="1">
          <x14:formula1>
            <xm:f>"TRUE,FALSE"</xm:f>
          </x14:formula1>
          <xm:sqref>E4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zoomScale="125" workbookViewId="0">
      <selection activeCell="E11" activeCellId="0" sqref="E11"/>
    </sheetView>
  </sheetViews>
  <sheetFormatPr defaultColWidth="8.85546875" defaultRowHeight="14.25"/>
  <cols>
    <col bestFit="1" customWidth="1" min="1" max="1" width="20.421875"/>
    <col customWidth="1" min="2" max="2" width="21.7109375"/>
    <col customWidth="1" min="3" max="3" width="5"/>
    <col customWidth="1" min="4" max="4" width="51.28515625"/>
    <col customWidth="1" min="5" max="5" style="3" width="21.42578125"/>
    <col customWidth="1" min="6" max="7" style="3" width="15.140625"/>
    <col customWidth="1" min="8" max="8" width="16.85546875"/>
    <col customWidth="1" min="9" max="9" width="17.140625"/>
    <col customWidth="1" min="10" max="10" width="15.140625"/>
    <col customWidth="1" min="11" max="11" width="16.140625"/>
    <col customWidth="1" min="12" max="12" width="5"/>
    <col bestFit="1" customWidth="1" min="13" max="13" width="28.42578125"/>
    <col bestFit="1" customWidth="1" min="14" max="14" width="19.7109375"/>
  </cols>
  <sheetData>
    <row r="1" ht="23.25">
      <c r="A1" s="4" t="s">
        <v>46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17.25">
      <c r="A2" s="5" t="s">
        <v>12</v>
      </c>
      <c r="B2" s="5"/>
      <c r="C2" s="5"/>
      <c r="D2" s="5"/>
      <c r="E2" s="5"/>
      <c r="F2"/>
      <c r="G2"/>
    </row>
    <row r="3" ht="16.5">
      <c r="A3" s="6" t="s">
        <v>13</v>
      </c>
      <c r="B3" s="7"/>
      <c r="C3" s="7"/>
      <c r="D3" s="8"/>
      <c r="E3" s="9" t="b">
        <v>1</v>
      </c>
      <c r="F3"/>
      <c r="G3"/>
    </row>
    <row r="4" ht="16.5">
      <c r="A4" s="6" t="s">
        <v>14</v>
      </c>
      <c r="B4" s="7"/>
      <c r="C4" s="7"/>
      <c r="D4" s="8"/>
      <c r="E4" s="9" t="b">
        <v>1</v>
      </c>
      <c r="F4"/>
      <c r="G4"/>
    </row>
    <row r="5" ht="16.5">
      <c r="A5" s="6" t="s">
        <v>15</v>
      </c>
      <c r="B5" s="7"/>
      <c r="C5" s="7"/>
      <c r="D5" s="8"/>
      <c r="E5" s="37">
        <v>0</v>
      </c>
      <c r="F5"/>
      <c r="G5"/>
    </row>
    <row r="6" ht="16.5">
      <c r="E6"/>
      <c r="F6"/>
      <c r="G6"/>
    </row>
    <row r="7">
      <c r="A7" s="11"/>
      <c r="B7" s="11"/>
      <c r="C7" s="11"/>
      <c r="D7" s="11"/>
      <c r="E7"/>
      <c r="F7"/>
      <c r="G7"/>
    </row>
    <row r="9" ht="17.25">
      <c r="A9" s="12" t="s">
        <v>16</v>
      </c>
      <c r="B9" s="12"/>
      <c r="D9" s="12" t="s">
        <v>17</v>
      </c>
      <c r="E9" s="12"/>
      <c r="F9" s="12"/>
      <c r="G9" s="12"/>
      <c r="H9" s="12"/>
      <c r="I9" s="12"/>
      <c r="J9" s="12"/>
      <c r="K9" s="12"/>
      <c r="M9" s="12" t="s">
        <v>18</v>
      </c>
      <c r="N9" s="12"/>
    </row>
    <row r="10" ht="16.5">
      <c r="A10" s="13" t="s">
        <v>19</v>
      </c>
      <c r="B10" s="14"/>
      <c r="D10" s="15" t="s">
        <v>20</v>
      </c>
      <c r="E10" s="16"/>
      <c r="M10" s="17" t="s">
        <v>21</v>
      </c>
      <c r="N10" s="18">
        <f>$B$13+$B$14</f>
        <v>0</v>
      </c>
    </row>
    <row r="11" ht="16.5">
      <c r="A11" s="13" t="s">
        <v>22</v>
      </c>
      <c r="B11" s="14"/>
      <c r="D11" s="15" t="s">
        <v>23</v>
      </c>
      <c r="E11" s="16"/>
      <c r="M11" s="17" t="s">
        <v>24</v>
      </c>
      <c r="N11" s="18">
        <f>$B$15+$B$16</f>
        <v>0</v>
      </c>
    </row>
    <row r="12" ht="16.5">
      <c r="A12" s="13" t="s">
        <v>25</v>
      </c>
      <c r="B12" s="38"/>
      <c r="D12" s="15"/>
      <c r="E12"/>
      <c r="F12"/>
      <c r="G12"/>
      <c r="M12" s="17" t="s">
        <v>26</v>
      </c>
      <c r="N12" s="19">
        <f>IF(OR($N$11="",$N$10="",$N$11&lt;=$N$10),0,INT((ROUND(($N$11-$N$10)*1440,0)+59)/60))</f>
        <v>0</v>
      </c>
    </row>
    <row r="13" ht="16.5">
      <c r="A13" s="13" t="s">
        <v>27</v>
      </c>
      <c r="B13" s="39"/>
      <c r="D13" s="21" t="s">
        <v>28</v>
      </c>
      <c r="E13" s="22" t="s">
        <v>29</v>
      </c>
      <c r="F13" s="22" t="s">
        <v>30</v>
      </c>
      <c r="G13" s="22" t="s">
        <v>31</v>
      </c>
      <c r="H13" s="22" t="s">
        <v>32</v>
      </c>
      <c r="I13" s="22" t="s">
        <v>33</v>
      </c>
      <c r="J13" s="22" t="s">
        <v>34</v>
      </c>
      <c r="K13" s="22" t="s">
        <v>35</v>
      </c>
      <c r="M13" s="17" t="s">
        <v>36</v>
      </c>
      <c r="N13" s="23">
        <f>IF(OR(N12="",N12&lt;=0),0,
   INT($N$12/24)*Meta!$B$4 +
   IF(MOD($N$12,24)&lt;=3,0,
      IF(MOD($N$12,24)&lt;=11, MOD($N$12,24)*(Meta!$B$4/12), Meta!$B$4)
   )
)</f>
        <v>0</v>
      </c>
    </row>
    <row r="14" ht="16.5">
      <c r="A14" s="13" t="s">
        <v>30</v>
      </c>
      <c r="B14" s="24"/>
      <c r="D14" s="25"/>
      <c r="E14" s="26"/>
      <c r="F14" s="27"/>
      <c r="G14" s="27"/>
      <c r="H14" s="28"/>
      <c r="I14" s="28"/>
      <c r="J14" s="29">
        <f t="shared" ref="J14:J54" si="1">IF(OR(H14="",H14&lt;=0),0,IF(OR(I14="",I14&lt;=0),0,I14-H14))</f>
        <v>0</v>
      </c>
      <c r="K14" s="28">
        <v>0</v>
      </c>
      <c r="M14" s="17" t="s">
        <v>37</v>
      </c>
      <c r="N14" s="3" t="b">
        <f>AND(E3,E4)</f>
        <v>1</v>
      </c>
    </row>
    <row r="15" ht="16.5">
      <c r="A15" s="13" t="s">
        <v>38</v>
      </c>
      <c r="B15" s="20"/>
      <c r="D15" s="25"/>
      <c r="E15" s="26"/>
      <c r="F15" s="27"/>
      <c r="G15" s="27"/>
      <c r="H15" s="30"/>
      <c r="I15" s="28"/>
      <c r="J15" s="29">
        <f t="shared" si="1"/>
        <v>0</v>
      </c>
      <c r="K15" s="28">
        <v>0</v>
      </c>
      <c r="M15" s="17" t="s">
        <v>39</v>
      </c>
      <c r="N15" s="3" t="b">
        <f>OR(E5,E6)</f>
        <v>0</v>
      </c>
    </row>
    <row r="16" ht="16.5">
      <c r="A16" s="13" t="s">
        <v>40</v>
      </c>
      <c r="B16" s="24"/>
      <c r="D16" s="25"/>
      <c r="E16" s="26"/>
      <c r="F16" s="27"/>
      <c r="G16" s="27"/>
      <c r="H16" s="30"/>
      <c r="I16" s="28"/>
      <c r="J16" s="29">
        <f t="shared" si="1"/>
        <v>0</v>
      </c>
      <c r="K16" s="28">
        <v>0</v>
      </c>
      <c r="M16" s="17" t="s">
        <v>41</v>
      </c>
      <c r="N16" s="23">
        <f>MAX(0,N13-IF(N15,Meta!$B$5*$E$5,0))</f>
        <v>0</v>
      </c>
    </row>
    <row r="17" ht="16.5">
      <c r="D17" s="25"/>
      <c r="E17" s="26"/>
      <c r="F17" s="27"/>
      <c r="G17" s="27"/>
      <c r="H17" s="30"/>
      <c r="I17" s="28"/>
      <c r="J17" s="29">
        <f t="shared" si="1"/>
        <v>0</v>
      </c>
      <c r="K17" s="28">
        <v>0</v>
      </c>
      <c r="M17" s="17" t="s">
        <v>42</v>
      </c>
      <c r="N17" s="23">
        <f>SUM(J14:J54)*Meta!$B$2</f>
        <v>0</v>
      </c>
    </row>
    <row r="18" ht="16.5">
      <c r="D18" s="25"/>
      <c r="E18" s="26"/>
      <c r="F18" s="27"/>
      <c r="G18" s="27"/>
      <c r="H18" s="30"/>
      <c r="I18" s="28"/>
      <c r="J18" s="29">
        <f t="shared" si="1"/>
        <v>0</v>
      </c>
      <c r="K18" s="28">
        <v>0</v>
      </c>
      <c r="M18" s="17" t="s">
        <v>43</v>
      </c>
      <c r="N18" s="23">
        <f>SUM(J14:J54*K14:K54)*Meta!$B$3</f>
        <v>0</v>
      </c>
    </row>
    <row r="19" ht="16.5">
      <c r="D19" s="25"/>
      <c r="E19" s="26"/>
      <c r="F19" s="27"/>
      <c r="G19" s="27"/>
      <c r="H19" s="30"/>
      <c r="I19" s="28"/>
      <c r="J19" s="29">
        <f t="shared" si="1"/>
        <v>0</v>
      </c>
      <c r="K19" s="28">
        <v>0</v>
      </c>
      <c r="M19" s="17" t="s">
        <v>44</v>
      </c>
      <c r="N19" s="23">
        <f>N17+N18</f>
        <v>0</v>
      </c>
    </row>
    <row r="20" ht="16.5">
      <c r="D20" s="25"/>
      <c r="E20" s="26"/>
      <c r="F20" s="27"/>
      <c r="G20" s="27"/>
      <c r="H20" s="30"/>
      <c r="I20" s="28"/>
      <c r="J20" s="29">
        <f t="shared" si="1"/>
        <v>0</v>
      </c>
      <c r="K20" s="28">
        <v>0</v>
      </c>
      <c r="M20" s="31" t="s">
        <v>45</v>
      </c>
      <c r="N20" s="32">
        <f>IF(N14,SUM($N$19,$N$16),N19)</f>
        <v>0</v>
      </c>
    </row>
    <row r="21" ht="15.75">
      <c r="D21" s="25"/>
      <c r="E21" s="26"/>
      <c r="F21" s="27"/>
      <c r="G21" s="27"/>
      <c r="H21" s="30"/>
      <c r="I21" s="28"/>
      <c r="J21" s="29">
        <f t="shared" si="1"/>
        <v>0</v>
      </c>
      <c r="K21" s="28">
        <v>0</v>
      </c>
    </row>
    <row r="22">
      <c r="D22" s="25"/>
      <c r="E22" s="26"/>
      <c r="F22" s="27"/>
      <c r="G22" s="27"/>
      <c r="H22" s="30"/>
      <c r="I22" s="28"/>
      <c r="J22" s="29">
        <f t="shared" si="1"/>
        <v>0</v>
      </c>
      <c r="K22" s="28">
        <v>0</v>
      </c>
    </row>
    <row r="23">
      <c r="D23" s="25"/>
      <c r="E23" s="26"/>
      <c r="F23" s="27"/>
      <c r="G23" s="27"/>
      <c r="H23" s="30"/>
      <c r="I23" s="28"/>
      <c r="J23" s="29">
        <f t="shared" si="1"/>
        <v>0</v>
      </c>
      <c r="K23" s="28">
        <v>0</v>
      </c>
    </row>
    <row r="24">
      <c r="D24" s="25"/>
      <c r="E24" s="26"/>
      <c r="F24" s="27"/>
      <c r="G24" s="27"/>
      <c r="H24" s="30"/>
      <c r="I24" s="28"/>
      <c r="J24" s="29">
        <f t="shared" si="1"/>
        <v>0</v>
      </c>
      <c r="K24" s="28">
        <v>0</v>
      </c>
    </row>
    <row r="25">
      <c r="D25" s="25"/>
      <c r="E25" s="26"/>
      <c r="F25" s="27"/>
      <c r="G25" s="27"/>
      <c r="H25" s="30"/>
      <c r="I25" s="28"/>
      <c r="J25" s="29">
        <f t="shared" si="1"/>
        <v>0</v>
      </c>
      <c r="K25" s="28">
        <v>0</v>
      </c>
    </row>
    <row r="26">
      <c r="D26" s="25"/>
      <c r="E26" s="26"/>
      <c r="F26" s="27"/>
      <c r="G26" s="27"/>
      <c r="H26" s="30"/>
      <c r="I26" s="28"/>
      <c r="J26" s="29">
        <f t="shared" si="1"/>
        <v>0</v>
      </c>
      <c r="K26" s="28">
        <v>0</v>
      </c>
    </row>
    <row r="27">
      <c r="D27" s="25"/>
      <c r="E27" s="26"/>
      <c r="F27" s="27"/>
      <c r="G27" s="27"/>
      <c r="H27" s="30"/>
      <c r="I27" s="28"/>
      <c r="J27" s="29">
        <f t="shared" si="1"/>
        <v>0</v>
      </c>
      <c r="K27" s="28">
        <v>0</v>
      </c>
    </row>
    <row r="28">
      <c r="D28" s="25"/>
      <c r="E28" s="26"/>
      <c r="F28" s="27"/>
      <c r="G28" s="27"/>
      <c r="H28" s="30"/>
      <c r="I28" s="28"/>
      <c r="J28" s="29">
        <f t="shared" si="1"/>
        <v>0</v>
      </c>
      <c r="K28" s="28">
        <v>0</v>
      </c>
    </row>
    <row r="29">
      <c r="D29" s="25"/>
      <c r="E29" s="26"/>
      <c r="F29" s="27"/>
      <c r="G29" s="27"/>
      <c r="H29" s="30"/>
      <c r="I29" s="28"/>
      <c r="J29" s="29">
        <f t="shared" si="1"/>
        <v>0</v>
      </c>
      <c r="K29" s="28">
        <v>0</v>
      </c>
    </row>
    <row r="30">
      <c r="D30" s="25"/>
      <c r="E30" s="26"/>
      <c r="F30" s="27"/>
      <c r="G30" s="27"/>
      <c r="H30" s="30"/>
      <c r="I30" s="28"/>
      <c r="J30" s="29">
        <f t="shared" si="1"/>
        <v>0</v>
      </c>
      <c r="K30" s="28">
        <v>0</v>
      </c>
    </row>
    <row r="31">
      <c r="D31" s="25"/>
      <c r="E31" s="26"/>
      <c r="F31" s="27"/>
      <c r="G31" s="27"/>
      <c r="H31" s="30"/>
      <c r="I31" s="28"/>
      <c r="J31" s="29">
        <f t="shared" si="1"/>
        <v>0</v>
      </c>
      <c r="K31" s="28">
        <v>0</v>
      </c>
    </row>
    <row r="32">
      <c r="D32" s="25"/>
      <c r="E32" s="26"/>
      <c r="F32" s="27"/>
      <c r="G32" s="27"/>
      <c r="H32" s="30"/>
      <c r="I32" s="28"/>
      <c r="J32" s="29">
        <f t="shared" si="1"/>
        <v>0</v>
      </c>
      <c r="K32" s="28">
        <v>0</v>
      </c>
    </row>
    <row r="33">
      <c r="D33" s="25"/>
      <c r="E33" s="26"/>
      <c r="F33" s="27"/>
      <c r="G33" s="27"/>
      <c r="H33" s="30"/>
      <c r="I33" s="28"/>
      <c r="J33" s="29">
        <f t="shared" si="1"/>
        <v>0</v>
      </c>
      <c r="K33" s="28">
        <v>0</v>
      </c>
    </row>
    <row r="34">
      <c r="D34" s="25"/>
      <c r="E34" s="26"/>
      <c r="F34" s="27"/>
      <c r="G34" s="27"/>
      <c r="H34" s="30"/>
      <c r="I34" s="28"/>
      <c r="J34" s="29">
        <f t="shared" si="1"/>
        <v>0</v>
      </c>
      <c r="K34" s="28">
        <v>0</v>
      </c>
    </row>
    <row r="35">
      <c r="D35" s="25"/>
      <c r="E35" s="26"/>
      <c r="F35" s="27"/>
      <c r="G35" s="27"/>
      <c r="H35" s="30"/>
      <c r="I35" s="28"/>
      <c r="J35" s="29">
        <f t="shared" si="1"/>
        <v>0</v>
      </c>
      <c r="K35" s="28">
        <v>0</v>
      </c>
    </row>
    <row r="36">
      <c r="D36" s="25"/>
      <c r="E36" s="26"/>
      <c r="F36" s="27"/>
      <c r="G36" s="27"/>
      <c r="H36" s="30"/>
      <c r="I36" s="28"/>
      <c r="J36" s="29">
        <f t="shared" si="1"/>
        <v>0</v>
      </c>
      <c r="K36" s="28">
        <v>0</v>
      </c>
    </row>
    <row r="37">
      <c r="D37" s="25"/>
      <c r="E37" s="26"/>
      <c r="F37" s="27"/>
      <c r="G37" s="27"/>
      <c r="H37" s="30"/>
      <c r="I37" s="28"/>
      <c r="J37" s="29">
        <f t="shared" si="1"/>
        <v>0</v>
      </c>
      <c r="K37" s="28">
        <v>0</v>
      </c>
    </row>
    <row r="38">
      <c r="D38" s="25"/>
      <c r="E38" s="26"/>
      <c r="F38" s="27"/>
      <c r="G38" s="27"/>
      <c r="H38" s="30"/>
      <c r="I38" s="28"/>
      <c r="J38" s="29">
        <f t="shared" si="1"/>
        <v>0</v>
      </c>
      <c r="K38" s="28">
        <v>0</v>
      </c>
    </row>
    <row r="39">
      <c r="D39" s="25"/>
      <c r="E39" s="26"/>
      <c r="F39" s="27"/>
      <c r="G39" s="27"/>
      <c r="H39" s="30"/>
      <c r="I39" s="28"/>
      <c r="J39" s="29">
        <f t="shared" si="1"/>
        <v>0</v>
      </c>
      <c r="K39" s="28">
        <v>0</v>
      </c>
    </row>
    <row r="40">
      <c r="D40" s="25"/>
      <c r="E40" s="26"/>
      <c r="F40" s="27"/>
      <c r="G40" s="27"/>
      <c r="H40" s="30"/>
      <c r="I40" s="28"/>
      <c r="J40" s="29">
        <f t="shared" si="1"/>
        <v>0</v>
      </c>
      <c r="K40" s="28">
        <v>0</v>
      </c>
    </row>
    <row r="41">
      <c r="D41" s="25"/>
      <c r="E41" s="26"/>
      <c r="F41" s="27"/>
      <c r="G41" s="27"/>
      <c r="H41" s="30"/>
      <c r="I41" s="28"/>
      <c r="J41" s="29">
        <f t="shared" si="1"/>
        <v>0</v>
      </c>
      <c r="K41" s="28">
        <v>0</v>
      </c>
    </row>
    <row r="42">
      <c r="D42" s="25"/>
      <c r="E42" s="26"/>
      <c r="F42" s="27"/>
      <c r="G42" s="27"/>
      <c r="H42" s="30"/>
      <c r="I42" s="28"/>
      <c r="J42" s="29">
        <f t="shared" si="1"/>
        <v>0</v>
      </c>
      <c r="K42" s="28">
        <v>0</v>
      </c>
    </row>
    <row r="43">
      <c r="D43" s="25"/>
      <c r="E43" s="26"/>
      <c r="F43" s="27"/>
      <c r="G43" s="27"/>
      <c r="H43" s="30"/>
      <c r="I43" s="28"/>
      <c r="J43" s="29">
        <f t="shared" si="1"/>
        <v>0</v>
      </c>
      <c r="K43" s="28">
        <v>0</v>
      </c>
    </row>
    <row r="44">
      <c r="D44" s="25"/>
      <c r="E44" s="26"/>
      <c r="F44" s="27"/>
      <c r="G44" s="27"/>
      <c r="H44" s="30"/>
      <c r="I44" s="28"/>
      <c r="J44" s="29">
        <f t="shared" si="1"/>
        <v>0</v>
      </c>
      <c r="K44" s="28">
        <v>0</v>
      </c>
    </row>
    <row r="45">
      <c r="D45" s="25"/>
      <c r="E45" s="26"/>
      <c r="F45" s="27"/>
      <c r="G45" s="27"/>
      <c r="H45" s="30"/>
      <c r="I45" s="28"/>
      <c r="J45" s="29">
        <f t="shared" si="1"/>
        <v>0</v>
      </c>
      <c r="K45" s="28">
        <v>0</v>
      </c>
    </row>
    <row r="46">
      <c r="D46" s="25"/>
      <c r="E46" s="26"/>
      <c r="F46" s="27"/>
      <c r="G46" s="27"/>
      <c r="H46" s="30"/>
      <c r="I46" s="28"/>
      <c r="J46" s="29">
        <f t="shared" si="1"/>
        <v>0</v>
      </c>
      <c r="K46" s="28">
        <v>0</v>
      </c>
    </row>
    <row r="47">
      <c r="D47" s="25"/>
      <c r="E47" s="26"/>
      <c r="F47" s="27"/>
      <c r="G47" s="27"/>
      <c r="H47" s="30"/>
      <c r="I47" s="28"/>
      <c r="J47" s="29">
        <f t="shared" si="1"/>
        <v>0</v>
      </c>
      <c r="K47" s="28">
        <v>0</v>
      </c>
    </row>
    <row r="48">
      <c r="D48" s="25"/>
      <c r="E48" s="26"/>
      <c r="F48" s="27"/>
      <c r="G48" s="27"/>
      <c r="H48" s="30"/>
      <c r="I48" s="28"/>
      <c r="J48" s="29">
        <f t="shared" si="1"/>
        <v>0</v>
      </c>
      <c r="K48" s="28">
        <v>0</v>
      </c>
    </row>
    <row r="49">
      <c r="D49" s="25"/>
      <c r="E49" s="26"/>
      <c r="F49" s="27"/>
      <c r="G49" s="27"/>
      <c r="H49" s="30"/>
      <c r="I49" s="28"/>
      <c r="J49" s="29">
        <f t="shared" si="1"/>
        <v>0</v>
      </c>
      <c r="K49" s="28">
        <v>0</v>
      </c>
    </row>
    <row r="50">
      <c r="D50" s="25"/>
      <c r="E50" s="26"/>
      <c r="F50" s="27"/>
      <c r="G50" s="27"/>
      <c r="H50" s="30"/>
      <c r="I50" s="28"/>
      <c r="J50" s="29">
        <f t="shared" si="1"/>
        <v>0</v>
      </c>
      <c r="K50" s="28">
        <v>0</v>
      </c>
    </row>
    <row r="51">
      <c r="D51" s="25"/>
      <c r="E51" s="26"/>
      <c r="F51" s="27"/>
      <c r="G51" s="27"/>
      <c r="H51" s="30"/>
      <c r="I51" s="28"/>
      <c r="J51" s="29">
        <f t="shared" si="1"/>
        <v>0</v>
      </c>
      <c r="K51" s="28">
        <v>0</v>
      </c>
    </row>
    <row r="52">
      <c r="D52" s="25"/>
      <c r="E52" s="26"/>
      <c r="F52" s="27"/>
      <c r="G52" s="27"/>
      <c r="H52" s="30"/>
      <c r="I52" s="28"/>
      <c r="J52" s="29">
        <f t="shared" si="1"/>
        <v>0</v>
      </c>
      <c r="K52" s="28">
        <v>0</v>
      </c>
    </row>
    <row r="53">
      <c r="D53" s="25"/>
      <c r="E53" s="26"/>
      <c r="F53" s="27"/>
      <c r="G53" s="27"/>
      <c r="H53" s="30"/>
      <c r="I53" s="28"/>
      <c r="J53" s="29">
        <f t="shared" si="1"/>
        <v>0</v>
      </c>
      <c r="K53" s="28">
        <v>0</v>
      </c>
    </row>
    <row r="54">
      <c r="D54" s="25"/>
      <c r="E54" s="26"/>
      <c r="F54" s="27"/>
      <c r="G54" s="27"/>
      <c r="H54" s="30"/>
      <c r="I54" s="28"/>
      <c r="J54" s="29">
        <f t="shared" si="1"/>
        <v>0</v>
      </c>
      <c r="K54" s="28">
        <v>0</v>
      </c>
    </row>
    <row r="55">
      <c r="D55" s="33"/>
      <c r="E55" s="34"/>
      <c r="F55" s="35"/>
      <c r="G55" s="35"/>
      <c r="H55" s="29"/>
      <c r="I55" s="29"/>
      <c r="J55" s="36"/>
    </row>
  </sheetData>
  <sheetProtection autoFilter="1" deleteColumns="1" deleteRows="1" formatCells="1" formatColumns="1" formatRows="1" insertColumns="1" insertHyperlinks="1" insertRows="1" objects="0" pivotTables="1" scenarios="0" selectLockedCells="0" selectUnlockedCells="0" sheet="1" sort="1"/>
  <mergeCells count="9">
    <mergeCell ref="A1:N1"/>
    <mergeCell ref="A2:E2"/>
    <mergeCell ref="A3:D3"/>
    <mergeCell ref="A4:D4"/>
    <mergeCell ref="A5:D5"/>
    <mergeCell ref="A7:D7"/>
    <mergeCell ref="A9:B9"/>
    <mergeCell ref="D9:K9"/>
    <mergeCell ref="M9:N9"/>
  </mergeCells>
  <printOptions headings="0" gridLines="0"/>
  <pageMargins left="0.75" right="0.75" top="1" bottom="1" header="0.5" footer="0.5"/>
  <pageSetup paperSize="9" scale="45" fitToWidth="1" fitToHeight="1" pageOrder="downThenOver" orientation="landscape" usePrinterDefaults="1" blackAndWhite="0" draft="0" cellComments="none" useFirstPageNumber="0" errors="displayed" horizontalDpi="0" verticalDpi="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9" operator="equal" id="{007B0034-006E-43BC-9F55-000800D100E1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E3</xm:sqref>
        </x14:conditionalFormatting>
        <x14:conditionalFormatting xmlns:xm="http://schemas.microsoft.com/office/excel/2006/main">
          <x14:cfRule type="cellIs" priority="10" operator="equal" id="{00990037-0096-4A62-BE66-009400D400E9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E3:E5</xm:sqref>
        </x14:conditionalFormatting>
        <x14:conditionalFormatting xmlns:xm="http://schemas.microsoft.com/office/excel/2006/main">
          <x14:cfRule type="cellIs" priority="3" operator="equal" id="{006F00CF-0085-436F-B8A0-0053000600C6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4" operator="equal" id="{00A100C2-002E-45C0-8062-00C7004D0034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7" operator="equal" id="{00220036-00F6-4F39-9B06-00C100CA00FF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8" operator="equal" id="{002700C6-0027-4E61-B020-00F000CB00CA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1" operator="equal" id="{00D2000C-00EC-4A9E-9F13-001C0019002D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equal" id="{0001009B-008E-4A02-BEF0-00CC00D30039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greaterThan" id="{001C00B4-00F3-4852-9A32-00BD005C0059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1" operator="equal" id="{00F90047-000F-46CC-95A4-004900A400BE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00890098-00A2-494F-8003-009600630028}" type="custom" allowBlank="1" error="Kilometerangabe bei Ankunft muss größer sein als wie bei der Abfahrt!" errorStyle="stop" errorTitle="Ungültige km-Angabe" imeMode="noControl" operator="between" showDropDown="0" showErrorMessage="1" showInputMessage="1">
          <x14:formula1>
            <xm:f>I14&gt;H14</xm:f>
          </x14:formula1>
          <xm:sqref>I14:I54</xm:sqref>
        </x14:dataValidation>
        <x14:dataValidation xr:uid="{004C0079-001D-41F3-83A7-008200640075}" type="custom" allowBlank="1" error="Kilometerangabe muss größer oder gleich sein als letzter Kilometerstand!" errorStyle="stop" errorTitle="Ungültige km-Angabe" imeMode="noControl" operator="between" showDropDown="0" showErrorMessage="1" showInputMessage="1">
          <x14:formula1>
            <xm:f>H15&gt;=I14</xm:f>
          </x14:formula1>
          <xm:sqref>H15:H54</xm:sqref>
        </x14:dataValidation>
        <x14:dataValidation xr:uid="{00E800E9-0092-4829-BA13-00DE0036007A}" type="date" allowBlank="1" error="Datum muss in der Dienstreisezeit liegen!" errorStyle="stop" errorTitle="Ungültiges Datum" imeMode="noControl" operator="between" showDropDown="0" showErrorMessage="1" showInputMessage="1">
          <x14:formula1>
            <xm:f>$B$13</xm:f>
          </x14:formula1>
          <x14:formula2>
            <xm:f>$B$15</xm:f>
          </x14:formula2>
          <xm:sqref>E14:E54</xm:sqref>
        </x14:dataValidation>
        <x14:dataValidation xr:uid="{006900FC-004E-4741-8D09-000700320037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AND((E14+F14)&gt;=($B$13+$B$14),(E14+F14)&lt;=($B$15+$B$16))</xm:f>
          </x14:formula1>
          <xm:sqref>F14:F54</xm:sqref>
        </x14:dataValidation>
        <x14:dataValidation xr:uid="{00AA008A-00C7-4A34-9761-002F009200B2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AND((E14+G14)&gt;=($B$13+$B$14),(E14+G14)&lt;=($B$15+$B$16))</xm:f>
          </x14:formula1>
          <xm:sqref>G14:G54</xm:sqref>
        </x14:dataValidation>
        <x14:dataValidation xr:uid="{00A4006A-009A-4D2A-A8BD-0021000D002B}" type="none" allowBlank="1" errorStyle="stop" imeMode="noControl" operator="between" showDropDown="0" showErrorMessage="1" showInputMessage="1">
          <x14:formula1>
            <xm:f>"TRUE,FALSE"</xm:f>
          </x14:formula1>
          <xm:sqref>E3</xm:sqref>
        </x14:dataValidation>
        <x14:dataValidation xr:uid="{001200E2-005A-45DB-882E-0071004800D0}" type="none" allowBlank="1" errorStyle="stop" imeMode="noControl" operator="between" showDropDown="0" showErrorMessage="1" showInputMessage="1">
          <x14:formula1>
            <xm:f>"TRUE,FALSE"</xm:f>
          </x14:formula1>
          <xm:sqref>E4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zoomScale="125" workbookViewId="0">
      <selection activeCell="E11" activeCellId="0" sqref="E11"/>
    </sheetView>
  </sheetViews>
  <sheetFormatPr defaultColWidth="8.85546875" defaultRowHeight="14.25"/>
  <cols>
    <col bestFit="1" customWidth="1" min="1" max="1" width="20.421875"/>
    <col customWidth="1" min="2" max="2" width="21.7109375"/>
    <col customWidth="1" min="3" max="3" width="5"/>
    <col customWidth="1" min="4" max="4" width="51.28515625"/>
    <col customWidth="1" min="5" max="5" style="3" width="21.42578125"/>
    <col customWidth="1" min="6" max="7" style="3" width="15.140625"/>
    <col customWidth="1" min="8" max="8" width="16.85546875"/>
    <col customWidth="1" min="9" max="9" width="17.140625"/>
    <col customWidth="1" min="10" max="10" width="15.140625"/>
    <col customWidth="1" min="11" max="11" width="16.140625"/>
    <col customWidth="1" min="12" max="12" width="5"/>
    <col bestFit="1" customWidth="1" min="13" max="13" width="28.42578125"/>
    <col bestFit="1" customWidth="1" min="14" max="14" width="19.7109375"/>
  </cols>
  <sheetData>
    <row r="1" ht="23.25">
      <c r="A1" s="4" t="s">
        <v>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17.25">
      <c r="A2" s="5" t="s">
        <v>12</v>
      </c>
      <c r="B2" s="5"/>
      <c r="C2" s="5"/>
      <c r="D2" s="5"/>
      <c r="E2" s="5"/>
      <c r="F2"/>
      <c r="G2"/>
    </row>
    <row r="3" ht="16.5">
      <c r="A3" s="6" t="s">
        <v>13</v>
      </c>
      <c r="B3" s="7"/>
      <c r="C3" s="7"/>
      <c r="D3" s="8"/>
      <c r="E3" s="9" t="b">
        <v>1</v>
      </c>
      <c r="F3"/>
      <c r="G3"/>
    </row>
    <row r="4" ht="16.5">
      <c r="A4" s="6" t="s">
        <v>14</v>
      </c>
      <c r="B4" s="7"/>
      <c r="C4" s="7"/>
      <c r="D4" s="8"/>
      <c r="E4" s="9" t="b">
        <v>1</v>
      </c>
      <c r="F4"/>
      <c r="G4"/>
    </row>
    <row r="5" ht="16.5">
      <c r="A5" s="6" t="s">
        <v>15</v>
      </c>
      <c r="B5" s="7"/>
      <c r="C5" s="7"/>
      <c r="D5" s="8"/>
      <c r="E5" s="37">
        <v>0</v>
      </c>
      <c r="F5"/>
      <c r="G5"/>
    </row>
    <row r="6" ht="16.5">
      <c r="E6"/>
      <c r="F6"/>
      <c r="G6"/>
    </row>
    <row r="7">
      <c r="A7" s="11"/>
      <c r="B7" s="11"/>
      <c r="C7" s="11"/>
      <c r="D7" s="11"/>
      <c r="E7"/>
      <c r="F7"/>
      <c r="G7"/>
    </row>
    <row r="9" ht="17.25">
      <c r="A9" s="12" t="s">
        <v>16</v>
      </c>
      <c r="B9" s="12"/>
      <c r="D9" s="12" t="s">
        <v>17</v>
      </c>
      <c r="E9" s="12"/>
      <c r="F9" s="12"/>
      <c r="G9" s="12"/>
      <c r="H9" s="12"/>
      <c r="I9" s="12"/>
      <c r="J9" s="12"/>
      <c r="K9" s="12"/>
      <c r="M9" s="12" t="s">
        <v>18</v>
      </c>
      <c r="N9" s="12"/>
    </row>
    <row r="10" ht="16.5">
      <c r="A10" s="13" t="s">
        <v>19</v>
      </c>
      <c r="B10" s="14"/>
      <c r="D10" s="15" t="s">
        <v>20</v>
      </c>
      <c r="E10" s="16"/>
      <c r="M10" s="17" t="s">
        <v>21</v>
      </c>
      <c r="N10" s="18">
        <f>$B$13+$B$14</f>
        <v>0</v>
      </c>
    </row>
    <row r="11" ht="16.5">
      <c r="A11" s="13" t="s">
        <v>22</v>
      </c>
      <c r="B11" s="14"/>
      <c r="D11" s="15" t="s">
        <v>23</v>
      </c>
      <c r="E11" s="16"/>
      <c r="M11" s="17" t="s">
        <v>24</v>
      </c>
      <c r="N11" s="18">
        <f>$B$15+$B$16</f>
        <v>0</v>
      </c>
    </row>
    <row r="12" ht="16.5">
      <c r="A12" s="13" t="s">
        <v>25</v>
      </c>
      <c r="B12" s="14"/>
      <c r="D12" s="15"/>
      <c r="E12"/>
      <c r="F12"/>
      <c r="G12"/>
      <c r="M12" s="17" t="s">
        <v>26</v>
      </c>
      <c r="N12" s="19">
        <f>IF(OR($N$11="",$N$10="",$N$11&lt;=$N$10),0,INT((ROUND(($N$11-$N$10)*1440,0)+59)/60))</f>
        <v>0</v>
      </c>
    </row>
    <row r="13" ht="16.5">
      <c r="A13" s="13" t="s">
        <v>27</v>
      </c>
      <c r="B13" s="20"/>
      <c r="D13" s="21" t="s">
        <v>28</v>
      </c>
      <c r="E13" s="22" t="s">
        <v>29</v>
      </c>
      <c r="F13" s="22" t="s">
        <v>30</v>
      </c>
      <c r="G13" s="22" t="s">
        <v>31</v>
      </c>
      <c r="H13" s="22" t="s">
        <v>32</v>
      </c>
      <c r="I13" s="22" t="s">
        <v>33</v>
      </c>
      <c r="J13" s="22" t="s">
        <v>34</v>
      </c>
      <c r="K13" s="22" t="s">
        <v>35</v>
      </c>
      <c r="M13" s="17" t="s">
        <v>36</v>
      </c>
      <c r="N13" s="23">
        <f>IF(OR(N12="",N12&lt;=0),0,
   INT($N$12/24)*Meta!$B$4 +
   IF(MOD($N$12,24)&lt;=3,0,
      IF(MOD($N$12,24)&lt;=11, MOD($N$12,24)*(Meta!$B$4/12), Meta!$B$4)
   )
)</f>
        <v>0</v>
      </c>
    </row>
    <row r="14" ht="16.5">
      <c r="A14" s="13" t="s">
        <v>30</v>
      </c>
      <c r="B14" s="24"/>
      <c r="D14" s="25"/>
      <c r="E14" s="26"/>
      <c r="F14" s="27"/>
      <c r="G14" s="27"/>
      <c r="H14" s="28"/>
      <c r="I14" s="28"/>
      <c r="J14" s="29">
        <f t="shared" ref="J14:J54" si="2">IF(OR(H14="",H14&lt;=0),0,IF(OR(I14="",I14&lt;=0),0,I14-H14))</f>
        <v>0</v>
      </c>
      <c r="K14" s="28">
        <v>0</v>
      </c>
      <c r="M14" s="17" t="s">
        <v>37</v>
      </c>
      <c r="N14" s="3" t="b">
        <f>AND(E3,E4)</f>
        <v>1</v>
      </c>
    </row>
    <row r="15" ht="16.5">
      <c r="A15" s="13" t="s">
        <v>38</v>
      </c>
      <c r="B15" s="20"/>
      <c r="D15" s="25"/>
      <c r="E15" s="26"/>
      <c r="F15" s="27"/>
      <c r="G15" s="27"/>
      <c r="H15" s="30"/>
      <c r="I15" s="28"/>
      <c r="J15" s="29">
        <f t="shared" si="2"/>
        <v>0</v>
      </c>
      <c r="K15" s="28">
        <v>0</v>
      </c>
      <c r="M15" s="17" t="s">
        <v>39</v>
      </c>
      <c r="N15" s="3" t="b">
        <f>OR(E5,E6)</f>
        <v>0</v>
      </c>
    </row>
    <row r="16" ht="16.5">
      <c r="A16" s="13" t="s">
        <v>40</v>
      </c>
      <c r="B16" s="24"/>
      <c r="D16" s="25"/>
      <c r="E16" s="26"/>
      <c r="F16" s="27"/>
      <c r="G16" s="27"/>
      <c r="H16" s="30"/>
      <c r="I16" s="28"/>
      <c r="J16" s="29">
        <f t="shared" si="2"/>
        <v>0</v>
      </c>
      <c r="K16" s="28">
        <v>0</v>
      </c>
      <c r="M16" s="17" t="s">
        <v>41</v>
      </c>
      <c r="N16" s="23">
        <f>MAX(0,N13-IF(N15,Meta!$B$5*$E$5,0))</f>
        <v>0</v>
      </c>
    </row>
    <row r="17" ht="16.5">
      <c r="D17" s="25"/>
      <c r="E17" s="26"/>
      <c r="F17" s="27"/>
      <c r="G17" s="27"/>
      <c r="H17" s="30"/>
      <c r="I17" s="28"/>
      <c r="J17" s="29">
        <f t="shared" si="2"/>
        <v>0</v>
      </c>
      <c r="K17" s="28">
        <v>0</v>
      </c>
      <c r="M17" s="17" t="s">
        <v>42</v>
      </c>
      <c r="N17" s="23">
        <f>SUM(J14:J54)*Meta!$B$2</f>
        <v>0</v>
      </c>
    </row>
    <row r="18" ht="16.5">
      <c r="D18" s="25"/>
      <c r="E18" s="26"/>
      <c r="F18" s="27"/>
      <c r="G18" s="27"/>
      <c r="H18" s="30"/>
      <c r="I18" s="28"/>
      <c r="J18" s="29">
        <f t="shared" si="2"/>
        <v>0</v>
      </c>
      <c r="K18" s="28">
        <v>0</v>
      </c>
      <c r="M18" s="17" t="s">
        <v>43</v>
      </c>
      <c r="N18" s="23">
        <f>SUM(J14:J54*K14:K54)*Meta!$B$3</f>
        <v>0</v>
      </c>
    </row>
    <row r="19" ht="16.5">
      <c r="D19" s="25"/>
      <c r="E19" s="26"/>
      <c r="F19" s="27"/>
      <c r="G19" s="27"/>
      <c r="H19" s="30"/>
      <c r="I19" s="28"/>
      <c r="J19" s="29">
        <f t="shared" si="2"/>
        <v>0</v>
      </c>
      <c r="K19" s="28">
        <v>0</v>
      </c>
      <c r="M19" s="17" t="s">
        <v>44</v>
      </c>
      <c r="N19" s="23">
        <f>N17+N18</f>
        <v>0</v>
      </c>
    </row>
    <row r="20" ht="16.5">
      <c r="D20" s="25"/>
      <c r="E20" s="26"/>
      <c r="F20" s="27"/>
      <c r="G20" s="27"/>
      <c r="H20" s="30"/>
      <c r="I20" s="28"/>
      <c r="J20" s="29">
        <f t="shared" si="2"/>
        <v>0</v>
      </c>
      <c r="K20" s="28">
        <v>0</v>
      </c>
      <c r="M20" s="31" t="s">
        <v>45</v>
      </c>
      <c r="N20" s="32">
        <f>IF(N14,SUM($N$19,$N$16),N19)</f>
        <v>0</v>
      </c>
    </row>
    <row r="21" ht="15.75">
      <c r="D21" s="25"/>
      <c r="E21" s="26"/>
      <c r="F21" s="27"/>
      <c r="G21" s="27"/>
      <c r="H21" s="30"/>
      <c r="I21" s="28"/>
      <c r="J21" s="29">
        <f t="shared" si="2"/>
        <v>0</v>
      </c>
      <c r="K21" s="28">
        <v>0</v>
      </c>
    </row>
    <row r="22">
      <c r="D22" s="25"/>
      <c r="E22" s="26"/>
      <c r="F22" s="27"/>
      <c r="G22" s="27"/>
      <c r="H22" s="30"/>
      <c r="I22" s="28"/>
      <c r="J22" s="29">
        <f t="shared" si="2"/>
        <v>0</v>
      </c>
      <c r="K22" s="28">
        <v>0</v>
      </c>
    </row>
    <row r="23">
      <c r="D23" s="25"/>
      <c r="E23" s="26"/>
      <c r="F23" s="27"/>
      <c r="G23" s="27"/>
      <c r="H23" s="30"/>
      <c r="I23" s="28"/>
      <c r="J23" s="29">
        <f t="shared" si="2"/>
        <v>0</v>
      </c>
      <c r="K23" s="28">
        <v>0</v>
      </c>
    </row>
    <row r="24">
      <c r="D24" s="25"/>
      <c r="E24" s="26"/>
      <c r="F24" s="27"/>
      <c r="G24" s="27"/>
      <c r="H24" s="30"/>
      <c r="I24" s="28"/>
      <c r="J24" s="29">
        <f t="shared" si="2"/>
        <v>0</v>
      </c>
      <c r="K24" s="28">
        <v>0</v>
      </c>
    </row>
    <row r="25">
      <c r="D25" s="25"/>
      <c r="E25" s="26"/>
      <c r="F25" s="27"/>
      <c r="G25" s="27"/>
      <c r="H25" s="30"/>
      <c r="I25" s="28"/>
      <c r="J25" s="29">
        <f t="shared" si="2"/>
        <v>0</v>
      </c>
      <c r="K25" s="28">
        <v>0</v>
      </c>
    </row>
    <row r="26">
      <c r="D26" s="25"/>
      <c r="E26" s="26"/>
      <c r="F26" s="27"/>
      <c r="G26" s="27"/>
      <c r="H26" s="30"/>
      <c r="I26" s="28"/>
      <c r="J26" s="29">
        <f t="shared" si="2"/>
        <v>0</v>
      </c>
      <c r="K26" s="28">
        <v>0</v>
      </c>
    </row>
    <row r="27">
      <c r="D27" s="25"/>
      <c r="E27" s="26"/>
      <c r="F27" s="27"/>
      <c r="G27" s="27"/>
      <c r="H27" s="30"/>
      <c r="I27" s="28"/>
      <c r="J27" s="29">
        <f t="shared" si="2"/>
        <v>0</v>
      </c>
      <c r="K27" s="28">
        <v>0</v>
      </c>
    </row>
    <row r="28">
      <c r="D28" s="25"/>
      <c r="E28" s="26"/>
      <c r="F28" s="27"/>
      <c r="G28" s="27"/>
      <c r="H28" s="30"/>
      <c r="I28" s="28"/>
      <c r="J28" s="29">
        <f t="shared" si="2"/>
        <v>0</v>
      </c>
      <c r="K28" s="28">
        <v>0</v>
      </c>
    </row>
    <row r="29">
      <c r="D29" s="25"/>
      <c r="E29" s="26"/>
      <c r="F29" s="27"/>
      <c r="G29" s="27"/>
      <c r="H29" s="30"/>
      <c r="I29" s="28"/>
      <c r="J29" s="29">
        <f t="shared" si="2"/>
        <v>0</v>
      </c>
      <c r="K29" s="28">
        <v>0</v>
      </c>
    </row>
    <row r="30">
      <c r="D30" s="25"/>
      <c r="E30" s="26"/>
      <c r="F30" s="27"/>
      <c r="G30" s="27"/>
      <c r="H30" s="30"/>
      <c r="I30" s="28"/>
      <c r="J30" s="29">
        <f t="shared" si="2"/>
        <v>0</v>
      </c>
      <c r="K30" s="28">
        <v>0</v>
      </c>
    </row>
    <row r="31">
      <c r="D31" s="25"/>
      <c r="E31" s="26"/>
      <c r="F31" s="27"/>
      <c r="G31" s="27"/>
      <c r="H31" s="30"/>
      <c r="I31" s="28"/>
      <c r="J31" s="29">
        <f t="shared" si="2"/>
        <v>0</v>
      </c>
      <c r="K31" s="28">
        <v>0</v>
      </c>
    </row>
    <row r="32">
      <c r="D32" s="25"/>
      <c r="E32" s="26"/>
      <c r="F32" s="27"/>
      <c r="G32" s="27"/>
      <c r="H32" s="30"/>
      <c r="I32" s="28"/>
      <c r="J32" s="29">
        <f t="shared" si="2"/>
        <v>0</v>
      </c>
      <c r="K32" s="28">
        <v>0</v>
      </c>
    </row>
    <row r="33">
      <c r="D33" s="25"/>
      <c r="E33" s="26"/>
      <c r="F33" s="27"/>
      <c r="G33" s="27"/>
      <c r="H33" s="30"/>
      <c r="I33" s="28"/>
      <c r="J33" s="29">
        <f t="shared" si="2"/>
        <v>0</v>
      </c>
      <c r="K33" s="28">
        <v>0</v>
      </c>
    </row>
    <row r="34">
      <c r="D34" s="25"/>
      <c r="E34" s="26"/>
      <c r="F34" s="27"/>
      <c r="G34" s="27"/>
      <c r="H34" s="30"/>
      <c r="I34" s="28"/>
      <c r="J34" s="29">
        <f t="shared" si="2"/>
        <v>0</v>
      </c>
      <c r="K34" s="28">
        <v>0</v>
      </c>
    </row>
    <row r="35">
      <c r="D35" s="25"/>
      <c r="E35" s="26"/>
      <c r="F35" s="27"/>
      <c r="G35" s="27"/>
      <c r="H35" s="30"/>
      <c r="I35" s="28"/>
      <c r="J35" s="29">
        <f t="shared" si="2"/>
        <v>0</v>
      </c>
      <c r="K35" s="28">
        <v>0</v>
      </c>
    </row>
    <row r="36">
      <c r="D36" s="25"/>
      <c r="E36" s="26"/>
      <c r="F36" s="27"/>
      <c r="G36" s="27"/>
      <c r="H36" s="30"/>
      <c r="I36" s="28"/>
      <c r="J36" s="29">
        <f t="shared" si="2"/>
        <v>0</v>
      </c>
      <c r="K36" s="28">
        <v>0</v>
      </c>
    </row>
    <row r="37">
      <c r="D37" s="25"/>
      <c r="E37" s="26"/>
      <c r="F37" s="27"/>
      <c r="G37" s="27"/>
      <c r="H37" s="30"/>
      <c r="I37" s="28"/>
      <c r="J37" s="29">
        <f t="shared" si="2"/>
        <v>0</v>
      </c>
      <c r="K37" s="28">
        <v>0</v>
      </c>
    </row>
    <row r="38">
      <c r="D38" s="25"/>
      <c r="E38" s="26"/>
      <c r="F38" s="27"/>
      <c r="G38" s="27"/>
      <c r="H38" s="30"/>
      <c r="I38" s="28"/>
      <c r="J38" s="29">
        <f t="shared" si="2"/>
        <v>0</v>
      </c>
      <c r="K38" s="28">
        <v>0</v>
      </c>
    </row>
    <row r="39">
      <c r="D39" s="25"/>
      <c r="E39" s="26"/>
      <c r="F39" s="27"/>
      <c r="G39" s="27"/>
      <c r="H39" s="30"/>
      <c r="I39" s="28"/>
      <c r="J39" s="29">
        <f t="shared" si="2"/>
        <v>0</v>
      </c>
      <c r="K39" s="28">
        <v>0</v>
      </c>
    </row>
    <row r="40">
      <c r="D40" s="25"/>
      <c r="E40" s="26"/>
      <c r="F40" s="27"/>
      <c r="G40" s="27"/>
      <c r="H40" s="30"/>
      <c r="I40" s="28"/>
      <c r="J40" s="29">
        <f t="shared" si="2"/>
        <v>0</v>
      </c>
      <c r="K40" s="28">
        <v>0</v>
      </c>
    </row>
    <row r="41">
      <c r="D41" s="25"/>
      <c r="E41" s="26"/>
      <c r="F41" s="27"/>
      <c r="G41" s="27"/>
      <c r="H41" s="30"/>
      <c r="I41" s="28"/>
      <c r="J41" s="29">
        <f t="shared" si="2"/>
        <v>0</v>
      </c>
      <c r="K41" s="28">
        <v>0</v>
      </c>
    </row>
    <row r="42">
      <c r="D42" s="25"/>
      <c r="E42" s="26"/>
      <c r="F42" s="27"/>
      <c r="G42" s="27"/>
      <c r="H42" s="30"/>
      <c r="I42" s="28"/>
      <c r="J42" s="29">
        <f t="shared" si="2"/>
        <v>0</v>
      </c>
      <c r="K42" s="28">
        <v>0</v>
      </c>
    </row>
    <row r="43">
      <c r="D43" s="25"/>
      <c r="E43" s="26"/>
      <c r="F43" s="27"/>
      <c r="G43" s="27"/>
      <c r="H43" s="30"/>
      <c r="I43" s="28"/>
      <c r="J43" s="29">
        <f t="shared" si="2"/>
        <v>0</v>
      </c>
      <c r="K43" s="28">
        <v>0</v>
      </c>
    </row>
    <row r="44">
      <c r="D44" s="25"/>
      <c r="E44" s="26"/>
      <c r="F44" s="27"/>
      <c r="G44" s="27"/>
      <c r="H44" s="30"/>
      <c r="I44" s="28"/>
      <c r="J44" s="29">
        <f t="shared" si="2"/>
        <v>0</v>
      </c>
      <c r="K44" s="28">
        <v>0</v>
      </c>
    </row>
    <row r="45">
      <c r="D45" s="25"/>
      <c r="E45" s="26"/>
      <c r="F45" s="27"/>
      <c r="G45" s="27"/>
      <c r="H45" s="30"/>
      <c r="I45" s="28"/>
      <c r="J45" s="29">
        <f t="shared" si="2"/>
        <v>0</v>
      </c>
      <c r="K45" s="28">
        <v>0</v>
      </c>
    </row>
    <row r="46">
      <c r="D46" s="25"/>
      <c r="E46" s="26"/>
      <c r="F46" s="27"/>
      <c r="G46" s="27"/>
      <c r="H46" s="30"/>
      <c r="I46" s="28"/>
      <c r="J46" s="29">
        <f t="shared" si="2"/>
        <v>0</v>
      </c>
      <c r="K46" s="28">
        <v>0</v>
      </c>
    </row>
    <row r="47">
      <c r="D47" s="25"/>
      <c r="E47" s="26"/>
      <c r="F47" s="27"/>
      <c r="G47" s="27"/>
      <c r="H47" s="30"/>
      <c r="I47" s="28"/>
      <c r="J47" s="29">
        <f t="shared" si="2"/>
        <v>0</v>
      </c>
      <c r="K47" s="28">
        <v>0</v>
      </c>
    </row>
    <row r="48">
      <c r="D48" s="25"/>
      <c r="E48" s="26"/>
      <c r="F48" s="27"/>
      <c r="G48" s="27"/>
      <c r="H48" s="30"/>
      <c r="I48" s="28"/>
      <c r="J48" s="29">
        <f t="shared" si="2"/>
        <v>0</v>
      </c>
      <c r="K48" s="28">
        <v>0</v>
      </c>
    </row>
    <row r="49">
      <c r="D49" s="25"/>
      <c r="E49" s="26"/>
      <c r="F49" s="27"/>
      <c r="G49" s="27"/>
      <c r="H49" s="30"/>
      <c r="I49" s="28"/>
      <c r="J49" s="29">
        <f t="shared" si="2"/>
        <v>0</v>
      </c>
      <c r="K49" s="28">
        <v>0</v>
      </c>
    </row>
    <row r="50">
      <c r="D50" s="25"/>
      <c r="E50" s="26"/>
      <c r="F50" s="27"/>
      <c r="G50" s="27"/>
      <c r="H50" s="30"/>
      <c r="I50" s="28"/>
      <c r="J50" s="29">
        <f t="shared" si="2"/>
        <v>0</v>
      </c>
      <c r="K50" s="28">
        <v>0</v>
      </c>
    </row>
    <row r="51">
      <c r="D51" s="25"/>
      <c r="E51" s="26"/>
      <c r="F51" s="27"/>
      <c r="G51" s="27"/>
      <c r="H51" s="30"/>
      <c r="I51" s="28"/>
      <c r="J51" s="29">
        <f t="shared" si="2"/>
        <v>0</v>
      </c>
      <c r="K51" s="28">
        <v>0</v>
      </c>
    </row>
    <row r="52">
      <c r="D52" s="25"/>
      <c r="E52" s="26"/>
      <c r="F52" s="27"/>
      <c r="G52" s="27"/>
      <c r="H52" s="30"/>
      <c r="I52" s="28"/>
      <c r="J52" s="29">
        <f t="shared" si="2"/>
        <v>0</v>
      </c>
      <c r="K52" s="28">
        <v>0</v>
      </c>
    </row>
    <row r="53">
      <c r="D53" s="25"/>
      <c r="E53" s="26"/>
      <c r="F53" s="27"/>
      <c r="G53" s="27"/>
      <c r="H53" s="30"/>
      <c r="I53" s="28"/>
      <c r="J53" s="29">
        <f t="shared" si="2"/>
        <v>0</v>
      </c>
      <c r="K53" s="28">
        <v>0</v>
      </c>
    </row>
    <row r="54">
      <c r="D54" s="25"/>
      <c r="E54" s="26"/>
      <c r="F54" s="27"/>
      <c r="G54" s="27"/>
      <c r="H54" s="30"/>
      <c r="I54" s="28"/>
      <c r="J54" s="29">
        <f t="shared" si="2"/>
        <v>0</v>
      </c>
      <c r="K54" s="28">
        <v>0</v>
      </c>
    </row>
    <row r="55">
      <c r="D55" s="33"/>
      <c r="E55" s="34"/>
      <c r="F55" s="35"/>
      <c r="G55" s="35"/>
      <c r="H55" s="29"/>
      <c r="I55" s="29"/>
      <c r="J55" s="36"/>
    </row>
  </sheetData>
  <sheetProtection autoFilter="1" deleteColumns="1" deleteRows="1" formatCells="1" formatColumns="1" formatRows="1" insertColumns="1" insertHyperlinks="1" insertRows="1" objects="0" pivotTables="1" scenarios="0" selectLockedCells="0" selectUnlockedCells="0" sheet="1" sort="1"/>
  <mergeCells count="9">
    <mergeCell ref="A1:N1"/>
    <mergeCell ref="A2:E2"/>
    <mergeCell ref="A3:D3"/>
    <mergeCell ref="A4:D4"/>
    <mergeCell ref="A5:D5"/>
    <mergeCell ref="A7:D7"/>
    <mergeCell ref="A9:B9"/>
    <mergeCell ref="D9:K9"/>
    <mergeCell ref="M9:N9"/>
  </mergeCells>
  <printOptions headings="0" gridLines="0"/>
  <pageMargins left="0.75" right="0.75" top="1" bottom="1" header="0.5" footer="0.5"/>
  <pageSetup paperSize="9" scale="45" fitToWidth="1" fitToHeight="1" pageOrder="downThenOver" orientation="landscape" usePrinterDefaults="1" blackAndWhite="0" draft="0" cellComments="none" useFirstPageNumber="0" errors="displayed" horizontalDpi="0" verticalDpi="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9" operator="equal" id="{00EA0036-0011-4038-97AF-001500E9008C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E3</xm:sqref>
        </x14:conditionalFormatting>
        <x14:conditionalFormatting xmlns:xm="http://schemas.microsoft.com/office/excel/2006/main">
          <x14:cfRule type="cellIs" priority="10" operator="equal" id="{00570082-0076-452C-A9DE-00EB006500A4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E3:E5</xm:sqref>
        </x14:conditionalFormatting>
        <x14:conditionalFormatting xmlns:xm="http://schemas.microsoft.com/office/excel/2006/main">
          <x14:cfRule type="cellIs" priority="3" operator="equal" id="{000F0052-00E0-4B3E-844B-007600A40083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4" operator="equal" id="{00A90016-00EB-401D-9F9A-000900C30029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7" operator="equal" id="{00E000F6-00AC-443C-A2EE-0076002B00D4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8" operator="equal" id="{00DB0094-003B-4258-8D8D-00B900E20011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1" operator="equal" id="{0014002D-00DA-4FEB-AB10-0088000A00DF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equal" id="{00F50063-002E-4F21-ACA2-00180036009D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greaterThan" id="{00960076-00F8-4C85-BECE-000200D90059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1" operator="equal" id="{004A000D-0068-496A-9645-00D3002F00DA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000E0071-0095-4470-B6BB-006800960072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AND((E14+G14)&gt;=($B$13+$B$14),(E14+G14)&lt;=($B$15+$B$16))</xm:f>
          </x14:formula1>
          <xm:sqref>G14:G54</xm:sqref>
        </x14:dataValidation>
        <x14:dataValidation xr:uid="{001000E1-002C-46B7-ADDC-00C8008900CB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AND((E14+F14)&gt;=($B$13+$B$14),(E14+F14)&lt;=($B$15+$B$16))</xm:f>
          </x14:formula1>
          <xm:sqref>F14:F54</xm:sqref>
        </x14:dataValidation>
        <x14:dataValidation xr:uid="{00B60021-001C-4DDC-9D47-00A600E30005}" type="date" allowBlank="1" error="Datum muss in der Dienstreisezeit liegen!" errorStyle="stop" errorTitle="Ungültiges Datum" imeMode="noControl" operator="between" showDropDown="0" showErrorMessage="1" showInputMessage="1">
          <x14:formula1>
            <xm:f>$B$13</xm:f>
          </x14:formula1>
          <x14:formula2>
            <xm:f>$B$15</xm:f>
          </x14:formula2>
          <xm:sqref>E14:E54</xm:sqref>
        </x14:dataValidation>
        <x14:dataValidation xr:uid="{00CF00FF-00F6-4A5D-8613-00E900F5004B}" type="custom" allowBlank="1" error="Kilometerangabe muss größer oder gleich sein als letzter Kilometerstand!" errorStyle="stop" errorTitle="Ungültige km-Angabe" imeMode="noControl" operator="between" showDropDown="0" showErrorMessage="1" showInputMessage="1">
          <x14:formula1>
            <xm:f>H15&gt;=I14</xm:f>
          </x14:formula1>
          <xm:sqref>H15:H54</xm:sqref>
        </x14:dataValidation>
        <x14:dataValidation xr:uid="{00C7000B-009E-43FC-A63E-002D0067008C}" type="custom" allowBlank="1" error="Kilometerangabe bei Ankunft muss größer sein als wie bei der Abfahrt!" errorStyle="stop" errorTitle="Ungültige km-Angabe" imeMode="noControl" operator="between" showDropDown="0" showErrorMessage="1" showInputMessage="1">
          <x14:formula1>
            <xm:f>I14&gt;H14</xm:f>
          </x14:formula1>
          <xm:sqref>I14:I54</xm:sqref>
        </x14:dataValidation>
        <x14:dataValidation xr:uid="{000500F0-0095-40FF-A3CB-00B300D30028}" type="none" allowBlank="1" errorStyle="stop" imeMode="noControl" operator="between" showDropDown="0" showErrorMessage="1" showInputMessage="1">
          <x14:formula1>
            <xm:f>"TRUE,FALSE"</xm:f>
          </x14:formula1>
          <xm:sqref>E3</xm:sqref>
        </x14:dataValidation>
        <x14:dataValidation xr:uid="{00FD000B-00B1-4DB2-B318-009000960078}" type="none" allowBlank="1" errorStyle="stop" imeMode="noControl" operator="between" showDropDown="0" showErrorMessage="1" showInputMessage="1">
          <x14:formula1>
            <xm:f>"TRUE,FALSE"</xm:f>
          </x14:formula1>
          <xm:sqref>E4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zoomScale="125" workbookViewId="0">
      <selection activeCell="E11" activeCellId="0" sqref="E11"/>
    </sheetView>
  </sheetViews>
  <sheetFormatPr defaultColWidth="8.85546875" defaultRowHeight="14.25"/>
  <cols>
    <col bestFit="1" customWidth="1" min="1" max="1" width="20.421875"/>
    <col customWidth="1" min="2" max="2" width="21.7109375"/>
    <col customWidth="1" min="3" max="3" width="5"/>
    <col customWidth="1" min="4" max="4" width="51.28515625"/>
    <col customWidth="1" min="5" max="5" style="3" width="21.42578125"/>
    <col customWidth="1" min="6" max="7" style="3" width="15.140625"/>
    <col customWidth="1" min="8" max="8" width="16.85546875"/>
    <col customWidth="1" min="9" max="9" width="17.140625"/>
    <col customWidth="1" min="10" max="10" width="15.140625"/>
    <col customWidth="1" min="11" max="11" width="16.140625"/>
    <col customWidth="1" min="12" max="12" width="5"/>
    <col bestFit="1" customWidth="1" min="13" max="13" width="28.42578125"/>
    <col bestFit="1" customWidth="1" min="14" max="14" width="19.7109375"/>
  </cols>
  <sheetData>
    <row r="1" ht="23.25">
      <c r="A1" s="4" t="s">
        <v>48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17.25">
      <c r="A2" s="5" t="s">
        <v>12</v>
      </c>
      <c r="B2" s="5"/>
      <c r="C2" s="5"/>
      <c r="D2" s="5"/>
      <c r="E2" s="5"/>
      <c r="F2"/>
      <c r="G2"/>
    </row>
    <row r="3" ht="16.5">
      <c r="A3" s="6" t="s">
        <v>13</v>
      </c>
      <c r="B3" s="7"/>
      <c r="C3" s="7"/>
      <c r="D3" s="8"/>
      <c r="E3" s="9" t="b">
        <v>1</v>
      </c>
      <c r="F3"/>
      <c r="G3"/>
    </row>
    <row r="4" ht="16.5">
      <c r="A4" s="6" t="s">
        <v>14</v>
      </c>
      <c r="B4" s="7"/>
      <c r="C4" s="7"/>
      <c r="D4" s="8"/>
      <c r="E4" s="9" t="b">
        <v>1</v>
      </c>
      <c r="F4"/>
      <c r="G4"/>
    </row>
    <row r="5" ht="16.5">
      <c r="A5" s="6" t="s">
        <v>15</v>
      </c>
      <c r="B5" s="7"/>
      <c r="C5" s="7"/>
      <c r="D5" s="8"/>
      <c r="E5" s="37">
        <v>0</v>
      </c>
      <c r="F5"/>
      <c r="G5"/>
    </row>
    <row r="6" ht="16.5">
      <c r="E6"/>
      <c r="F6"/>
      <c r="G6"/>
    </row>
    <row r="7">
      <c r="A7" s="11"/>
      <c r="B7" s="11"/>
      <c r="C7" s="11"/>
      <c r="D7" s="11"/>
      <c r="E7"/>
      <c r="F7"/>
      <c r="G7"/>
    </row>
    <row r="9" ht="17.25">
      <c r="A9" s="12" t="s">
        <v>16</v>
      </c>
      <c r="B9" s="12"/>
      <c r="D9" s="12" t="s">
        <v>17</v>
      </c>
      <c r="E9" s="12"/>
      <c r="F9" s="12"/>
      <c r="G9" s="12"/>
      <c r="H9" s="12"/>
      <c r="I9" s="12"/>
      <c r="J9" s="12"/>
      <c r="K9" s="12"/>
      <c r="M9" s="12" t="s">
        <v>18</v>
      </c>
      <c r="N9" s="12"/>
    </row>
    <row r="10" ht="16.5">
      <c r="A10" s="13" t="s">
        <v>19</v>
      </c>
      <c r="B10" s="14"/>
      <c r="D10" s="15" t="s">
        <v>20</v>
      </c>
      <c r="E10" s="16"/>
      <c r="M10" s="17" t="s">
        <v>21</v>
      </c>
      <c r="N10" s="18">
        <f>$B$13+$B$14</f>
        <v>0</v>
      </c>
    </row>
    <row r="11" ht="16.5">
      <c r="A11" s="13" t="s">
        <v>22</v>
      </c>
      <c r="B11" s="14"/>
      <c r="D11" s="15" t="s">
        <v>23</v>
      </c>
      <c r="E11" s="16"/>
      <c r="M11" s="17" t="s">
        <v>24</v>
      </c>
      <c r="N11" s="18">
        <f>$B$15+$B$16</f>
        <v>0</v>
      </c>
    </row>
    <row r="12" ht="16.5">
      <c r="A12" s="13" t="s">
        <v>25</v>
      </c>
      <c r="B12" s="14"/>
      <c r="D12" s="15"/>
      <c r="E12"/>
      <c r="F12"/>
      <c r="G12"/>
      <c r="M12" s="17" t="s">
        <v>26</v>
      </c>
      <c r="N12" s="19">
        <f>IF(OR($N$11="",$N$10="",$N$11&lt;=$N$10),0,INT((ROUND(($N$11-$N$10)*1440,0)+59)/60))</f>
        <v>0</v>
      </c>
    </row>
    <row r="13" ht="16.5">
      <c r="A13" s="13" t="s">
        <v>27</v>
      </c>
      <c r="B13" s="20"/>
      <c r="D13" s="21" t="s">
        <v>28</v>
      </c>
      <c r="E13" s="22" t="s">
        <v>29</v>
      </c>
      <c r="F13" s="22" t="s">
        <v>30</v>
      </c>
      <c r="G13" s="22" t="s">
        <v>31</v>
      </c>
      <c r="H13" s="22" t="s">
        <v>32</v>
      </c>
      <c r="I13" s="22" t="s">
        <v>33</v>
      </c>
      <c r="J13" s="22" t="s">
        <v>34</v>
      </c>
      <c r="K13" s="22" t="s">
        <v>35</v>
      </c>
      <c r="M13" s="17" t="s">
        <v>36</v>
      </c>
      <c r="N13" s="23">
        <f>IF(OR(N12="",N12&lt;=0),0,
   INT($N$12/24)*Meta!$B$4 +
   IF(MOD($N$12,24)&lt;=3,0,
      IF(MOD($N$12,24)&lt;=11, MOD($N$12,24)*(Meta!$B$4/12), Meta!$B$4)
   )
)</f>
        <v>0</v>
      </c>
    </row>
    <row r="14" ht="16.5">
      <c r="A14" s="13" t="s">
        <v>30</v>
      </c>
      <c r="B14" s="24"/>
      <c r="D14" s="25"/>
      <c r="E14" s="26"/>
      <c r="F14" s="27"/>
      <c r="G14" s="27"/>
      <c r="H14" s="28"/>
      <c r="I14" s="28"/>
      <c r="J14" s="29">
        <f t="shared" ref="J14:J54" si="3">IF(OR(H14="",H14&lt;=0),0,IF(OR(I14="",I14&lt;=0),0,I14-H14))</f>
        <v>0</v>
      </c>
      <c r="K14" s="28">
        <v>0</v>
      </c>
      <c r="M14" s="17" t="s">
        <v>37</v>
      </c>
      <c r="N14" s="3" t="b">
        <f>AND(E3,E4)</f>
        <v>1</v>
      </c>
    </row>
    <row r="15" ht="16.5">
      <c r="A15" s="13" t="s">
        <v>38</v>
      </c>
      <c r="B15" s="20"/>
      <c r="D15" s="25"/>
      <c r="E15" s="26"/>
      <c r="F15" s="27"/>
      <c r="G15" s="27"/>
      <c r="H15" s="30"/>
      <c r="I15" s="28"/>
      <c r="J15" s="29">
        <f t="shared" si="3"/>
        <v>0</v>
      </c>
      <c r="K15" s="28">
        <v>0</v>
      </c>
      <c r="M15" s="17" t="s">
        <v>39</v>
      </c>
      <c r="N15" s="3" t="b">
        <f>OR(E5,E6)</f>
        <v>0</v>
      </c>
    </row>
    <row r="16" ht="16.5">
      <c r="A16" s="13" t="s">
        <v>40</v>
      </c>
      <c r="B16" s="24"/>
      <c r="D16" s="25"/>
      <c r="E16" s="26"/>
      <c r="F16" s="27"/>
      <c r="G16" s="27"/>
      <c r="H16" s="30"/>
      <c r="I16" s="28"/>
      <c r="J16" s="29">
        <f t="shared" si="3"/>
        <v>0</v>
      </c>
      <c r="K16" s="28">
        <v>0</v>
      </c>
      <c r="M16" s="17" t="s">
        <v>41</v>
      </c>
      <c r="N16" s="23">
        <f>MAX(0,N13-IF(N15,Meta!$B$5*$E$5,0))</f>
        <v>0</v>
      </c>
    </row>
    <row r="17" ht="16.5">
      <c r="D17" s="25"/>
      <c r="E17" s="26"/>
      <c r="F17" s="27"/>
      <c r="G17" s="27"/>
      <c r="H17" s="30"/>
      <c r="I17" s="28"/>
      <c r="J17" s="29">
        <f t="shared" si="3"/>
        <v>0</v>
      </c>
      <c r="K17" s="28">
        <v>0</v>
      </c>
      <c r="M17" s="17" t="s">
        <v>42</v>
      </c>
      <c r="N17" s="23">
        <f>SUM(J14:J54)*Meta!$B$2</f>
        <v>0</v>
      </c>
    </row>
    <row r="18" ht="16.5">
      <c r="D18" s="25"/>
      <c r="E18" s="26"/>
      <c r="F18" s="27"/>
      <c r="G18" s="27"/>
      <c r="H18" s="30"/>
      <c r="I18" s="28"/>
      <c r="J18" s="29">
        <f t="shared" si="3"/>
        <v>0</v>
      </c>
      <c r="K18" s="28">
        <v>0</v>
      </c>
      <c r="M18" s="17" t="s">
        <v>43</v>
      </c>
      <c r="N18" s="23">
        <f>SUM(J14:J54*K14:K54)*Meta!$B$3</f>
        <v>0</v>
      </c>
    </row>
    <row r="19" ht="16.5">
      <c r="D19" s="25"/>
      <c r="E19" s="26"/>
      <c r="F19" s="27"/>
      <c r="G19" s="27"/>
      <c r="H19" s="30"/>
      <c r="I19" s="28"/>
      <c r="J19" s="29">
        <f t="shared" si="3"/>
        <v>0</v>
      </c>
      <c r="K19" s="28">
        <v>0</v>
      </c>
      <c r="M19" s="17" t="s">
        <v>44</v>
      </c>
      <c r="N19" s="23">
        <f>N17+N18</f>
        <v>0</v>
      </c>
    </row>
    <row r="20" ht="16.5">
      <c r="D20" s="25"/>
      <c r="E20" s="26"/>
      <c r="F20" s="27"/>
      <c r="G20" s="27"/>
      <c r="H20" s="30"/>
      <c r="I20" s="28"/>
      <c r="J20" s="29">
        <f t="shared" si="3"/>
        <v>0</v>
      </c>
      <c r="K20" s="28">
        <v>0</v>
      </c>
      <c r="M20" s="31" t="s">
        <v>45</v>
      </c>
      <c r="N20" s="32">
        <f>IF(N14,SUM($N$19,$N$16),N19)</f>
        <v>0</v>
      </c>
    </row>
    <row r="21" ht="15.75">
      <c r="D21" s="25"/>
      <c r="E21" s="26"/>
      <c r="F21" s="27"/>
      <c r="G21" s="27"/>
      <c r="H21" s="30"/>
      <c r="I21" s="28"/>
      <c r="J21" s="29">
        <f t="shared" si="3"/>
        <v>0</v>
      </c>
      <c r="K21" s="28">
        <v>0</v>
      </c>
    </row>
    <row r="22">
      <c r="D22" s="25"/>
      <c r="E22" s="26"/>
      <c r="F22" s="27"/>
      <c r="G22" s="27"/>
      <c r="H22" s="30"/>
      <c r="I22" s="28"/>
      <c r="J22" s="29">
        <f t="shared" si="3"/>
        <v>0</v>
      </c>
      <c r="K22" s="28">
        <v>0</v>
      </c>
    </row>
    <row r="23">
      <c r="D23" s="25"/>
      <c r="E23" s="26"/>
      <c r="F23" s="27"/>
      <c r="G23" s="27"/>
      <c r="H23" s="30"/>
      <c r="I23" s="28"/>
      <c r="J23" s="29">
        <f t="shared" si="3"/>
        <v>0</v>
      </c>
      <c r="K23" s="28">
        <v>0</v>
      </c>
    </row>
    <row r="24">
      <c r="D24" s="25"/>
      <c r="E24" s="26"/>
      <c r="F24" s="27"/>
      <c r="G24" s="27"/>
      <c r="H24" s="30"/>
      <c r="I24" s="28"/>
      <c r="J24" s="29">
        <f t="shared" si="3"/>
        <v>0</v>
      </c>
      <c r="K24" s="28">
        <v>0</v>
      </c>
    </row>
    <row r="25">
      <c r="D25" s="25"/>
      <c r="E25" s="26"/>
      <c r="F25" s="27"/>
      <c r="G25" s="27"/>
      <c r="H25" s="30"/>
      <c r="I25" s="28"/>
      <c r="J25" s="29">
        <f t="shared" si="3"/>
        <v>0</v>
      </c>
      <c r="K25" s="28">
        <v>0</v>
      </c>
    </row>
    <row r="26">
      <c r="D26" s="25"/>
      <c r="E26" s="26"/>
      <c r="F26" s="27"/>
      <c r="G26" s="27"/>
      <c r="H26" s="30"/>
      <c r="I26" s="28"/>
      <c r="J26" s="29">
        <f t="shared" si="3"/>
        <v>0</v>
      </c>
      <c r="K26" s="28">
        <v>0</v>
      </c>
    </row>
    <row r="27">
      <c r="D27" s="25"/>
      <c r="E27" s="26"/>
      <c r="F27" s="27"/>
      <c r="G27" s="27"/>
      <c r="H27" s="30"/>
      <c r="I27" s="28"/>
      <c r="J27" s="29">
        <f t="shared" si="3"/>
        <v>0</v>
      </c>
      <c r="K27" s="28">
        <v>0</v>
      </c>
    </row>
    <row r="28">
      <c r="D28" s="25"/>
      <c r="E28" s="26"/>
      <c r="F28" s="27"/>
      <c r="G28" s="27"/>
      <c r="H28" s="30"/>
      <c r="I28" s="28"/>
      <c r="J28" s="29">
        <f t="shared" si="3"/>
        <v>0</v>
      </c>
      <c r="K28" s="28">
        <v>0</v>
      </c>
    </row>
    <row r="29">
      <c r="D29" s="25"/>
      <c r="E29" s="26"/>
      <c r="F29" s="27"/>
      <c r="G29" s="27"/>
      <c r="H29" s="30"/>
      <c r="I29" s="28"/>
      <c r="J29" s="29">
        <f t="shared" si="3"/>
        <v>0</v>
      </c>
      <c r="K29" s="28">
        <v>0</v>
      </c>
    </row>
    <row r="30">
      <c r="D30" s="25"/>
      <c r="E30" s="26"/>
      <c r="F30" s="27"/>
      <c r="G30" s="27"/>
      <c r="H30" s="30"/>
      <c r="I30" s="28"/>
      <c r="J30" s="29">
        <f t="shared" si="3"/>
        <v>0</v>
      </c>
      <c r="K30" s="28">
        <v>0</v>
      </c>
    </row>
    <row r="31">
      <c r="D31" s="25"/>
      <c r="E31" s="26"/>
      <c r="F31" s="27"/>
      <c r="G31" s="27"/>
      <c r="H31" s="30"/>
      <c r="I31" s="28"/>
      <c r="J31" s="29">
        <f t="shared" si="3"/>
        <v>0</v>
      </c>
      <c r="K31" s="28">
        <v>0</v>
      </c>
    </row>
    <row r="32">
      <c r="D32" s="25"/>
      <c r="E32" s="26"/>
      <c r="F32" s="27"/>
      <c r="G32" s="27"/>
      <c r="H32" s="30"/>
      <c r="I32" s="28"/>
      <c r="J32" s="29">
        <f t="shared" si="3"/>
        <v>0</v>
      </c>
      <c r="K32" s="28">
        <v>0</v>
      </c>
    </row>
    <row r="33">
      <c r="D33" s="25"/>
      <c r="E33" s="26"/>
      <c r="F33" s="27"/>
      <c r="G33" s="27"/>
      <c r="H33" s="30"/>
      <c r="I33" s="28"/>
      <c r="J33" s="29">
        <f t="shared" si="3"/>
        <v>0</v>
      </c>
      <c r="K33" s="28">
        <v>0</v>
      </c>
    </row>
    <row r="34">
      <c r="D34" s="25"/>
      <c r="E34" s="26"/>
      <c r="F34" s="27"/>
      <c r="G34" s="27"/>
      <c r="H34" s="30"/>
      <c r="I34" s="28"/>
      <c r="J34" s="29">
        <f t="shared" si="3"/>
        <v>0</v>
      </c>
      <c r="K34" s="28">
        <v>0</v>
      </c>
    </row>
    <row r="35">
      <c r="D35" s="25"/>
      <c r="E35" s="26"/>
      <c r="F35" s="27"/>
      <c r="G35" s="27"/>
      <c r="H35" s="30"/>
      <c r="I35" s="28"/>
      <c r="J35" s="29">
        <f t="shared" si="3"/>
        <v>0</v>
      </c>
      <c r="K35" s="28">
        <v>0</v>
      </c>
    </row>
    <row r="36">
      <c r="D36" s="25"/>
      <c r="E36" s="26"/>
      <c r="F36" s="27"/>
      <c r="G36" s="27"/>
      <c r="H36" s="30"/>
      <c r="I36" s="28"/>
      <c r="J36" s="29">
        <f t="shared" si="3"/>
        <v>0</v>
      </c>
      <c r="K36" s="28">
        <v>0</v>
      </c>
    </row>
    <row r="37">
      <c r="D37" s="25"/>
      <c r="E37" s="26"/>
      <c r="F37" s="27"/>
      <c r="G37" s="27"/>
      <c r="H37" s="30"/>
      <c r="I37" s="28"/>
      <c r="J37" s="29">
        <f t="shared" si="3"/>
        <v>0</v>
      </c>
      <c r="K37" s="28">
        <v>0</v>
      </c>
    </row>
    <row r="38">
      <c r="D38" s="25"/>
      <c r="E38" s="26"/>
      <c r="F38" s="27"/>
      <c r="G38" s="27"/>
      <c r="H38" s="30"/>
      <c r="I38" s="28"/>
      <c r="J38" s="29">
        <f t="shared" si="3"/>
        <v>0</v>
      </c>
      <c r="K38" s="28">
        <v>0</v>
      </c>
    </row>
    <row r="39">
      <c r="D39" s="25"/>
      <c r="E39" s="26"/>
      <c r="F39" s="27"/>
      <c r="G39" s="27"/>
      <c r="H39" s="30"/>
      <c r="I39" s="28"/>
      <c r="J39" s="29">
        <f t="shared" si="3"/>
        <v>0</v>
      </c>
      <c r="K39" s="28">
        <v>0</v>
      </c>
    </row>
    <row r="40">
      <c r="D40" s="25"/>
      <c r="E40" s="26"/>
      <c r="F40" s="27"/>
      <c r="G40" s="27"/>
      <c r="H40" s="30"/>
      <c r="I40" s="28"/>
      <c r="J40" s="29">
        <f t="shared" si="3"/>
        <v>0</v>
      </c>
      <c r="K40" s="28">
        <v>0</v>
      </c>
    </row>
    <row r="41">
      <c r="D41" s="25"/>
      <c r="E41" s="26"/>
      <c r="F41" s="27"/>
      <c r="G41" s="27"/>
      <c r="H41" s="30"/>
      <c r="I41" s="28"/>
      <c r="J41" s="29">
        <f t="shared" si="3"/>
        <v>0</v>
      </c>
      <c r="K41" s="28">
        <v>0</v>
      </c>
    </row>
    <row r="42">
      <c r="D42" s="25"/>
      <c r="E42" s="26"/>
      <c r="F42" s="27"/>
      <c r="G42" s="27"/>
      <c r="H42" s="30"/>
      <c r="I42" s="28"/>
      <c r="J42" s="29">
        <f t="shared" si="3"/>
        <v>0</v>
      </c>
      <c r="K42" s="28">
        <v>0</v>
      </c>
    </row>
    <row r="43">
      <c r="D43" s="25"/>
      <c r="E43" s="26"/>
      <c r="F43" s="27"/>
      <c r="G43" s="27"/>
      <c r="H43" s="30"/>
      <c r="I43" s="28"/>
      <c r="J43" s="29">
        <f t="shared" si="3"/>
        <v>0</v>
      </c>
      <c r="K43" s="28">
        <v>0</v>
      </c>
    </row>
    <row r="44">
      <c r="D44" s="25"/>
      <c r="E44" s="26"/>
      <c r="F44" s="27"/>
      <c r="G44" s="27"/>
      <c r="H44" s="30"/>
      <c r="I44" s="28"/>
      <c r="J44" s="29">
        <f t="shared" si="3"/>
        <v>0</v>
      </c>
      <c r="K44" s="28">
        <v>0</v>
      </c>
    </row>
    <row r="45">
      <c r="D45" s="25"/>
      <c r="E45" s="26"/>
      <c r="F45" s="27"/>
      <c r="G45" s="27"/>
      <c r="H45" s="30"/>
      <c r="I45" s="28"/>
      <c r="J45" s="29">
        <f t="shared" si="3"/>
        <v>0</v>
      </c>
      <c r="K45" s="28">
        <v>0</v>
      </c>
    </row>
    <row r="46">
      <c r="D46" s="25"/>
      <c r="E46" s="26"/>
      <c r="F46" s="27"/>
      <c r="G46" s="27"/>
      <c r="H46" s="30"/>
      <c r="I46" s="28"/>
      <c r="J46" s="29">
        <f t="shared" si="3"/>
        <v>0</v>
      </c>
      <c r="K46" s="28">
        <v>0</v>
      </c>
    </row>
    <row r="47">
      <c r="D47" s="25"/>
      <c r="E47" s="26"/>
      <c r="F47" s="27"/>
      <c r="G47" s="27"/>
      <c r="H47" s="30"/>
      <c r="I47" s="28"/>
      <c r="J47" s="29">
        <f t="shared" si="3"/>
        <v>0</v>
      </c>
      <c r="K47" s="28">
        <v>0</v>
      </c>
    </row>
    <row r="48">
      <c r="D48" s="25"/>
      <c r="E48" s="26"/>
      <c r="F48" s="27"/>
      <c r="G48" s="27"/>
      <c r="H48" s="30"/>
      <c r="I48" s="28"/>
      <c r="J48" s="29">
        <f t="shared" si="3"/>
        <v>0</v>
      </c>
      <c r="K48" s="28">
        <v>0</v>
      </c>
    </row>
    <row r="49">
      <c r="D49" s="25"/>
      <c r="E49" s="26"/>
      <c r="F49" s="27"/>
      <c r="G49" s="27"/>
      <c r="H49" s="30"/>
      <c r="I49" s="28"/>
      <c r="J49" s="29">
        <f t="shared" si="3"/>
        <v>0</v>
      </c>
      <c r="K49" s="28">
        <v>0</v>
      </c>
    </row>
    <row r="50">
      <c r="D50" s="25"/>
      <c r="E50" s="26"/>
      <c r="F50" s="27"/>
      <c r="G50" s="27"/>
      <c r="H50" s="30"/>
      <c r="I50" s="28"/>
      <c r="J50" s="29">
        <f t="shared" si="3"/>
        <v>0</v>
      </c>
      <c r="K50" s="28">
        <v>0</v>
      </c>
    </row>
    <row r="51">
      <c r="D51" s="25"/>
      <c r="E51" s="26"/>
      <c r="F51" s="27"/>
      <c r="G51" s="27"/>
      <c r="H51" s="30"/>
      <c r="I51" s="28"/>
      <c r="J51" s="29">
        <f t="shared" si="3"/>
        <v>0</v>
      </c>
      <c r="K51" s="28">
        <v>0</v>
      </c>
    </row>
    <row r="52">
      <c r="D52" s="25"/>
      <c r="E52" s="26"/>
      <c r="F52" s="27"/>
      <c r="G52" s="27"/>
      <c r="H52" s="30"/>
      <c r="I52" s="28"/>
      <c r="J52" s="29">
        <f t="shared" si="3"/>
        <v>0</v>
      </c>
      <c r="K52" s="28">
        <v>0</v>
      </c>
    </row>
    <row r="53">
      <c r="D53" s="25"/>
      <c r="E53" s="26"/>
      <c r="F53" s="27"/>
      <c r="G53" s="27"/>
      <c r="H53" s="30"/>
      <c r="I53" s="28"/>
      <c r="J53" s="29">
        <f t="shared" si="3"/>
        <v>0</v>
      </c>
      <c r="K53" s="28">
        <v>0</v>
      </c>
    </row>
    <row r="54">
      <c r="D54" s="25"/>
      <c r="E54" s="26"/>
      <c r="F54" s="27"/>
      <c r="G54" s="27"/>
      <c r="H54" s="30"/>
      <c r="I54" s="28"/>
      <c r="J54" s="29">
        <f t="shared" si="3"/>
        <v>0</v>
      </c>
      <c r="K54" s="28">
        <v>0</v>
      </c>
    </row>
    <row r="55">
      <c r="D55" s="33"/>
      <c r="E55" s="34"/>
      <c r="F55" s="35"/>
      <c r="G55" s="35"/>
      <c r="H55" s="29"/>
      <c r="I55" s="29"/>
      <c r="J55" s="36"/>
    </row>
  </sheetData>
  <sheetProtection autoFilter="1" deleteColumns="1" deleteRows="1" formatCells="1" formatColumns="1" formatRows="1" insertColumns="1" insertHyperlinks="1" insertRows="1" objects="0" pivotTables="1" scenarios="0" selectLockedCells="0" selectUnlockedCells="0" sheet="1" sort="1"/>
  <mergeCells count="9">
    <mergeCell ref="A1:N1"/>
    <mergeCell ref="A2:E2"/>
    <mergeCell ref="A3:D3"/>
    <mergeCell ref="A4:D4"/>
    <mergeCell ref="A5:D5"/>
    <mergeCell ref="A7:D7"/>
    <mergeCell ref="A9:B9"/>
    <mergeCell ref="D9:K9"/>
    <mergeCell ref="M9:N9"/>
  </mergeCells>
  <dataValidations count="1" disablePrompts="0">
    <dataValidation sqref="E11" type="none" allowBlank="1" errorStyle="stop" imeMode="noControl" operator="between" showDropDown="0" showErrorMessage="1" showInputMessage="1"/>
  </dataValidations>
  <printOptions headings="0" gridLines="0"/>
  <pageMargins left="0.75" right="0.75" top="1" bottom="1" header="0.5" footer="0.5"/>
  <pageSetup paperSize="9" scale="45" fitToWidth="1" fitToHeight="1" pageOrder="downThenOver" orientation="landscape" usePrinterDefaults="1" blackAndWhite="0" draft="0" cellComments="none" useFirstPageNumber="0" errors="displayed" horizontalDpi="0" verticalDpi="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9" operator="equal" id="{007700D3-00B2-4AEA-9899-00B200F400A6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E3</xm:sqref>
        </x14:conditionalFormatting>
        <x14:conditionalFormatting xmlns:xm="http://schemas.microsoft.com/office/excel/2006/main">
          <x14:cfRule type="cellIs" priority="10" operator="equal" id="{00C600DD-007F-479E-B8F3-007400000019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E3:E5</xm:sqref>
        </x14:conditionalFormatting>
        <x14:conditionalFormatting xmlns:xm="http://schemas.microsoft.com/office/excel/2006/main">
          <x14:cfRule type="cellIs" priority="3" operator="equal" id="{009E0057-0096-4226-925D-00A600910052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4" operator="equal" id="{003F00DB-00FE-4398-BB22-00F300E7002C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7" operator="equal" id="{00590053-0015-403F-BF3D-0042008D00F2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8" operator="equal" id="{0099007A-004C-4746-A002-006F00C70015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1" operator="equal" id="{00E200A2-0042-4BB6-9071-00EB002000DD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equal" id="{00850000-009B-4393-9052-00C000950029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greaterThan" id="{006E00C1-00B5-4B58-AF45-006100430029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1" operator="equal" id="{005A005C-009C-4A7D-9E36-00220030007C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00B20056-0000-4B89-A320-005E004700BD}" type="custom" allowBlank="1" error="Kilometerangabe bei Ankunft muss größer sein als wie bei der Abfahrt!" errorStyle="stop" errorTitle="Ungültige km-Angabe" imeMode="noControl" operator="between" showDropDown="0" showErrorMessage="1" showInputMessage="1">
          <x14:formula1>
            <xm:f>I14&gt;H14</xm:f>
          </x14:formula1>
          <xm:sqref>I14:I54</xm:sqref>
        </x14:dataValidation>
        <x14:dataValidation xr:uid="{00DB00AD-0074-49B2-8661-007300160095}" type="custom" allowBlank="1" error="Kilometerangabe muss größer oder gleich sein als letzter Kilometerstand!" errorStyle="stop" errorTitle="Ungültige km-Angabe" imeMode="noControl" operator="between" showDropDown="0" showErrorMessage="1" showInputMessage="1">
          <x14:formula1>
            <xm:f>H15&gt;=I14</xm:f>
          </x14:formula1>
          <xm:sqref>H15:H54</xm:sqref>
        </x14:dataValidation>
        <x14:dataValidation xr:uid="{0040007D-0005-4CC3-BE2B-0043000E00B7}" type="date" allowBlank="1" error="Datum muss in der Dienstreisezeit liegen!" errorStyle="stop" errorTitle="Ungültiges Datum" imeMode="noControl" operator="between" showDropDown="0" showErrorMessage="1" showInputMessage="1">
          <x14:formula1>
            <xm:f>$B$13</xm:f>
          </x14:formula1>
          <x14:formula2>
            <xm:f>$B$15</xm:f>
          </x14:formula2>
          <xm:sqref>E14:E54</xm:sqref>
        </x14:dataValidation>
        <x14:dataValidation xr:uid="{00F9000D-005F-493C-B8AE-0003009F0035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AND((E14+F14)&gt;=($B$13+$B$14),(E14+F14)&lt;=($B$15+$B$16))</xm:f>
          </x14:formula1>
          <xm:sqref>F14:F54</xm:sqref>
        </x14:dataValidation>
        <x14:dataValidation xr:uid="{000000E1-00C2-496B-9887-006C006B00A6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AND((E14+G14)&gt;=($B$13+$B$14),(E14+G14)&lt;=($B$15+$B$16))</xm:f>
          </x14:formula1>
          <xm:sqref>G14:G54</xm:sqref>
        </x14:dataValidation>
        <x14:dataValidation xr:uid="{007F0066-00D5-41C8-B583-0028005400D9}" type="none" allowBlank="1" errorStyle="stop" imeMode="noControl" operator="between" showDropDown="0" showErrorMessage="1" showInputMessage="1">
          <x14:formula1>
            <xm:f>"TRUE,FALSE"</xm:f>
          </x14:formula1>
          <xm:sqref>E3</xm:sqref>
        </x14:dataValidation>
        <x14:dataValidation xr:uid="{00E400E7-000C-41AE-8181-008F00A900E3}" type="none" allowBlank="1" errorStyle="stop" imeMode="noControl" operator="between" showDropDown="0" showErrorMessage="1" showInputMessage="1">
          <x14:formula1>
            <xm:f>"TRUE,FALSE"</xm:f>
          </x14:formula1>
          <xm:sqref>E4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zoomScale="125" workbookViewId="0">
      <selection activeCell="E7" activeCellId="0" sqref="E7"/>
    </sheetView>
  </sheetViews>
  <sheetFormatPr defaultColWidth="8.85546875" defaultRowHeight="14.25"/>
  <cols>
    <col bestFit="1" customWidth="1" min="1" max="1" width="20.421875"/>
    <col customWidth="1" min="2" max="2" width="21.7109375"/>
    <col customWidth="1" min="3" max="3" width="5"/>
    <col customWidth="1" min="4" max="4" width="51.28515625"/>
    <col customWidth="1" min="5" max="5" style="3" width="21.42578125"/>
    <col customWidth="1" min="6" max="7" style="3" width="15.140625"/>
    <col customWidth="1" min="8" max="8" width="16.85546875"/>
    <col customWidth="1" min="9" max="9" width="17.140625"/>
    <col customWidth="1" min="10" max="10" width="15.140625"/>
    <col customWidth="1" min="11" max="11" width="16.140625"/>
    <col customWidth="1" min="12" max="12" width="5"/>
    <col bestFit="1" customWidth="1" min="13" max="13" width="28.42578125"/>
    <col bestFit="1" customWidth="1" min="14" max="14" width="19.7109375"/>
  </cols>
  <sheetData>
    <row r="1" ht="23.25">
      <c r="A1" s="4" t="s">
        <v>49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17.25">
      <c r="A2" s="5" t="s">
        <v>12</v>
      </c>
      <c r="B2" s="5"/>
      <c r="C2" s="5"/>
      <c r="D2" s="5"/>
      <c r="E2" s="5"/>
      <c r="F2"/>
      <c r="G2"/>
    </row>
    <row r="3" ht="16.5">
      <c r="A3" s="6" t="s">
        <v>13</v>
      </c>
      <c r="B3" s="7"/>
      <c r="C3" s="7"/>
      <c r="D3" s="8"/>
      <c r="E3" s="9" t="b">
        <v>1</v>
      </c>
      <c r="F3"/>
      <c r="G3"/>
    </row>
    <row r="4" ht="16.5">
      <c r="A4" s="6" t="s">
        <v>14</v>
      </c>
      <c r="B4" s="7"/>
      <c r="C4" s="7"/>
      <c r="D4" s="8"/>
      <c r="E4" s="9" t="b">
        <v>1</v>
      </c>
      <c r="F4"/>
      <c r="G4"/>
    </row>
    <row r="5" ht="16.5">
      <c r="A5" s="6" t="s">
        <v>15</v>
      </c>
      <c r="B5" s="7"/>
      <c r="C5" s="7"/>
      <c r="D5" s="8"/>
      <c r="E5" s="37">
        <v>0</v>
      </c>
      <c r="F5"/>
      <c r="G5"/>
    </row>
    <row r="6" ht="16.5">
      <c r="E6"/>
      <c r="F6"/>
      <c r="G6"/>
    </row>
    <row r="7">
      <c r="A7" s="11"/>
      <c r="B7" s="11"/>
      <c r="C7" s="11"/>
      <c r="D7" s="11"/>
      <c r="E7"/>
      <c r="F7"/>
      <c r="G7"/>
    </row>
    <row r="9" ht="17.25">
      <c r="A9" s="12" t="s">
        <v>16</v>
      </c>
      <c r="B9" s="12"/>
      <c r="D9" s="12" t="s">
        <v>17</v>
      </c>
      <c r="E9" s="12"/>
      <c r="F9" s="12"/>
      <c r="G9" s="12"/>
      <c r="H9" s="12"/>
      <c r="I9" s="12"/>
      <c r="J9" s="12"/>
      <c r="K9" s="12"/>
      <c r="M9" s="12" t="s">
        <v>18</v>
      </c>
      <c r="N9" s="12"/>
    </row>
    <row r="10" ht="16.5">
      <c r="A10" s="13" t="s">
        <v>19</v>
      </c>
      <c r="B10" s="14"/>
      <c r="D10" s="15" t="s">
        <v>20</v>
      </c>
      <c r="E10" s="16"/>
      <c r="M10" s="17" t="s">
        <v>21</v>
      </c>
      <c r="N10" s="18">
        <f>$B$13+$B$14</f>
        <v>0</v>
      </c>
    </row>
    <row r="11" ht="16.5">
      <c r="A11" s="13" t="s">
        <v>22</v>
      </c>
      <c r="B11" s="14"/>
      <c r="D11" s="15" t="s">
        <v>23</v>
      </c>
      <c r="E11" s="16"/>
      <c r="M11" s="17" t="s">
        <v>24</v>
      </c>
      <c r="N11" s="18">
        <f>$B$15+$B$16</f>
        <v>0</v>
      </c>
    </row>
    <row r="12" ht="16.5">
      <c r="A12" s="13" t="s">
        <v>25</v>
      </c>
      <c r="B12" s="14"/>
      <c r="D12" s="15"/>
      <c r="E12"/>
      <c r="F12"/>
      <c r="G12"/>
      <c r="M12" s="17" t="s">
        <v>26</v>
      </c>
      <c r="N12" s="19">
        <f>IF(OR($N$11="",$N$10="",$N$11&lt;=$N$10),0,INT((ROUND(($N$11-$N$10)*1440,0)+59)/60))</f>
        <v>0</v>
      </c>
    </row>
    <row r="13" ht="16.5">
      <c r="A13" s="13" t="s">
        <v>27</v>
      </c>
      <c r="B13" s="20"/>
      <c r="D13" s="21" t="s">
        <v>28</v>
      </c>
      <c r="E13" s="22" t="s">
        <v>29</v>
      </c>
      <c r="F13" s="22" t="s">
        <v>30</v>
      </c>
      <c r="G13" s="22" t="s">
        <v>31</v>
      </c>
      <c r="H13" s="22" t="s">
        <v>32</v>
      </c>
      <c r="I13" s="22" t="s">
        <v>33</v>
      </c>
      <c r="J13" s="22" t="s">
        <v>34</v>
      </c>
      <c r="K13" s="22" t="s">
        <v>35</v>
      </c>
      <c r="M13" s="17" t="s">
        <v>36</v>
      </c>
      <c r="N13" s="23">
        <f>IF(OR(N12="",N12&lt;=0),0,
   INT($N$12/24)*Meta!$B$4 +
   IF(MOD($N$12,24)&lt;=3,0,
      IF(MOD($N$12,24)&lt;=11, MOD($N$12,24)*(Meta!$B$4/12), Meta!$B$4)
   )
)</f>
        <v>0</v>
      </c>
    </row>
    <row r="14" ht="16.5">
      <c r="A14" s="13" t="s">
        <v>30</v>
      </c>
      <c r="B14" s="24"/>
      <c r="D14" s="25"/>
      <c r="E14" s="26"/>
      <c r="F14" s="27"/>
      <c r="G14" s="27"/>
      <c r="H14" s="28"/>
      <c r="I14" s="28"/>
      <c r="J14" s="29">
        <f t="shared" ref="J14:J54" si="4">IF(OR(H14="",H14&lt;=0),0,IF(OR(I14="",I14&lt;=0),0,I14-H14))</f>
        <v>0</v>
      </c>
      <c r="K14" s="28">
        <v>0</v>
      </c>
      <c r="M14" s="17" t="s">
        <v>37</v>
      </c>
      <c r="N14" s="3" t="b">
        <f>AND(E3,E4)</f>
        <v>1</v>
      </c>
    </row>
    <row r="15" ht="16.5">
      <c r="A15" s="13" t="s">
        <v>38</v>
      </c>
      <c r="B15" s="20"/>
      <c r="D15" s="25"/>
      <c r="E15" s="26"/>
      <c r="F15" s="27"/>
      <c r="G15" s="27"/>
      <c r="H15" s="30"/>
      <c r="I15" s="28"/>
      <c r="J15" s="29">
        <f t="shared" si="4"/>
        <v>0</v>
      </c>
      <c r="K15" s="28">
        <v>0</v>
      </c>
      <c r="M15" s="17" t="s">
        <v>39</v>
      </c>
      <c r="N15" s="3" t="b">
        <f>OR(E5,E6)</f>
        <v>0</v>
      </c>
    </row>
    <row r="16" ht="16.5">
      <c r="A16" s="13" t="s">
        <v>40</v>
      </c>
      <c r="B16" s="24"/>
      <c r="D16" s="25"/>
      <c r="E16" s="26"/>
      <c r="F16" s="27"/>
      <c r="G16" s="27"/>
      <c r="H16" s="30"/>
      <c r="I16" s="28"/>
      <c r="J16" s="29">
        <f t="shared" si="4"/>
        <v>0</v>
      </c>
      <c r="K16" s="28">
        <v>0</v>
      </c>
      <c r="M16" s="17" t="s">
        <v>41</v>
      </c>
      <c r="N16" s="23">
        <f>MAX(0,N13-IF(N15,Meta!$B$5*$E$5,0))</f>
        <v>0</v>
      </c>
    </row>
    <row r="17" ht="16.5">
      <c r="D17" s="25"/>
      <c r="E17" s="26"/>
      <c r="F17" s="27"/>
      <c r="G17" s="27"/>
      <c r="H17" s="30"/>
      <c r="I17" s="28"/>
      <c r="J17" s="29">
        <f t="shared" si="4"/>
        <v>0</v>
      </c>
      <c r="K17" s="28">
        <v>0</v>
      </c>
      <c r="M17" s="17" t="s">
        <v>42</v>
      </c>
      <c r="N17" s="23">
        <f>SUM(J14:J54)*Meta!$B$2</f>
        <v>0</v>
      </c>
    </row>
    <row r="18" ht="16.5">
      <c r="D18" s="25"/>
      <c r="E18" s="26"/>
      <c r="F18" s="27"/>
      <c r="G18" s="27"/>
      <c r="H18" s="30"/>
      <c r="I18" s="28"/>
      <c r="J18" s="29">
        <f t="shared" si="4"/>
        <v>0</v>
      </c>
      <c r="K18" s="28">
        <v>0</v>
      </c>
      <c r="M18" s="17" t="s">
        <v>43</v>
      </c>
      <c r="N18" s="23">
        <f>SUM(J14:J54*K14:K54)*Meta!$B$3</f>
        <v>0</v>
      </c>
    </row>
    <row r="19" ht="16.5">
      <c r="D19" s="25"/>
      <c r="E19" s="26"/>
      <c r="F19" s="27"/>
      <c r="G19" s="27"/>
      <c r="H19" s="30"/>
      <c r="I19" s="28"/>
      <c r="J19" s="29">
        <f t="shared" si="4"/>
        <v>0</v>
      </c>
      <c r="K19" s="28">
        <v>0</v>
      </c>
      <c r="M19" s="17" t="s">
        <v>44</v>
      </c>
      <c r="N19" s="23">
        <f>N17+N18</f>
        <v>0</v>
      </c>
    </row>
    <row r="20" ht="16.5">
      <c r="D20" s="25"/>
      <c r="E20" s="26"/>
      <c r="F20" s="27"/>
      <c r="G20" s="27"/>
      <c r="H20" s="30"/>
      <c r="I20" s="28"/>
      <c r="J20" s="29">
        <f t="shared" si="4"/>
        <v>0</v>
      </c>
      <c r="K20" s="28">
        <v>0</v>
      </c>
      <c r="M20" s="31" t="s">
        <v>45</v>
      </c>
      <c r="N20" s="32">
        <f>IF(N14,SUM($N$19,$N$16),N19)</f>
        <v>0</v>
      </c>
    </row>
    <row r="21" ht="15.75">
      <c r="D21" s="25"/>
      <c r="E21" s="26"/>
      <c r="F21" s="27"/>
      <c r="G21" s="27"/>
      <c r="H21" s="30"/>
      <c r="I21" s="28"/>
      <c r="J21" s="29">
        <f t="shared" si="4"/>
        <v>0</v>
      </c>
      <c r="K21" s="28">
        <v>0</v>
      </c>
    </row>
    <row r="22">
      <c r="D22" s="25"/>
      <c r="E22" s="26"/>
      <c r="F22" s="27"/>
      <c r="G22" s="27"/>
      <c r="H22" s="30"/>
      <c r="I22" s="28"/>
      <c r="J22" s="29">
        <f t="shared" si="4"/>
        <v>0</v>
      </c>
      <c r="K22" s="28">
        <v>0</v>
      </c>
    </row>
    <row r="23">
      <c r="D23" s="25"/>
      <c r="E23" s="26"/>
      <c r="F23" s="27"/>
      <c r="G23" s="27"/>
      <c r="H23" s="30"/>
      <c r="I23" s="28"/>
      <c r="J23" s="29">
        <f t="shared" si="4"/>
        <v>0</v>
      </c>
      <c r="K23" s="28">
        <v>0</v>
      </c>
    </row>
    <row r="24">
      <c r="D24" s="25"/>
      <c r="E24" s="26"/>
      <c r="F24" s="27"/>
      <c r="G24" s="27"/>
      <c r="H24" s="30"/>
      <c r="I24" s="28"/>
      <c r="J24" s="29">
        <f t="shared" si="4"/>
        <v>0</v>
      </c>
      <c r="K24" s="28">
        <v>0</v>
      </c>
    </row>
    <row r="25">
      <c r="D25" s="25"/>
      <c r="E25" s="26"/>
      <c r="F25" s="27"/>
      <c r="G25" s="27"/>
      <c r="H25" s="30"/>
      <c r="I25" s="28"/>
      <c r="J25" s="29">
        <f t="shared" si="4"/>
        <v>0</v>
      </c>
      <c r="K25" s="28">
        <v>0</v>
      </c>
    </row>
    <row r="26">
      <c r="D26" s="25"/>
      <c r="E26" s="26"/>
      <c r="F26" s="27"/>
      <c r="G26" s="27"/>
      <c r="H26" s="30"/>
      <c r="I26" s="28"/>
      <c r="J26" s="29">
        <f t="shared" si="4"/>
        <v>0</v>
      </c>
      <c r="K26" s="28">
        <v>0</v>
      </c>
    </row>
    <row r="27">
      <c r="D27" s="25"/>
      <c r="E27" s="26"/>
      <c r="F27" s="27"/>
      <c r="G27" s="27"/>
      <c r="H27" s="30"/>
      <c r="I27" s="28"/>
      <c r="J27" s="29">
        <f t="shared" si="4"/>
        <v>0</v>
      </c>
      <c r="K27" s="28">
        <v>0</v>
      </c>
    </row>
    <row r="28">
      <c r="D28" s="25"/>
      <c r="E28" s="26"/>
      <c r="F28" s="27"/>
      <c r="G28" s="27"/>
      <c r="H28" s="30"/>
      <c r="I28" s="28"/>
      <c r="J28" s="29">
        <f t="shared" si="4"/>
        <v>0</v>
      </c>
      <c r="K28" s="28">
        <v>0</v>
      </c>
    </row>
    <row r="29">
      <c r="D29" s="25"/>
      <c r="E29" s="26"/>
      <c r="F29" s="27"/>
      <c r="G29" s="27"/>
      <c r="H29" s="30"/>
      <c r="I29" s="28"/>
      <c r="J29" s="29">
        <f t="shared" si="4"/>
        <v>0</v>
      </c>
      <c r="K29" s="28">
        <v>0</v>
      </c>
    </row>
    <row r="30">
      <c r="D30" s="25"/>
      <c r="E30" s="26"/>
      <c r="F30" s="27"/>
      <c r="G30" s="27"/>
      <c r="H30" s="30"/>
      <c r="I30" s="28"/>
      <c r="J30" s="29">
        <f t="shared" si="4"/>
        <v>0</v>
      </c>
      <c r="K30" s="28">
        <v>0</v>
      </c>
    </row>
    <row r="31">
      <c r="D31" s="25"/>
      <c r="E31" s="26"/>
      <c r="F31" s="27"/>
      <c r="G31" s="27"/>
      <c r="H31" s="30"/>
      <c r="I31" s="28"/>
      <c r="J31" s="29">
        <f t="shared" si="4"/>
        <v>0</v>
      </c>
      <c r="K31" s="28">
        <v>0</v>
      </c>
    </row>
    <row r="32">
      <c r="D32" s="25"/>
      <c r="E32" s="26"/>
      <c r="F32" s="27"/>
      <c r="G32" s="27"/>
      <c r="H32" s="30"/>
      <c r="I32" s="28"/>
      <c r="J32" s="29">
        <f t="shared" si="4"/>
        <v>0</v>
      </c>
      <c r="K32" s="28">
        <v>0</v>
      </c>
    </row>
    <row r="33">
      <c r="D33" s="25"/>
      <c r="E33" s="26"/>
      <c r="F33" s="27"/>
      <c r="G33" s="27"/>
      <c r="H33" s="30"/>
      <c r="I33" s="28"/>
      <c r="J33" s="29">
        <f t="shared" si="4"/>
        <v>0</v>
      </c>
      <c r="K33" s="28">
        <v>0</v>
      </c>
    </row>
    <row r="34">
      <c r="D34" s="25"/>
      <c r="E34" s="26"/>
      <c r="F34" s="27"/>
      <c r="G34" s="27"/>
      <c r="H34" s="30"/>
      <c r="I34" s="28"/>
      <c r="J34" s="29">
        <f t="shared" si="4"/>
        <v>0</v>
      </c>
      <c r="K34" s="28">
        <v>0</v>
      </c>
    </row>
    <row r="35">
      <c r="D35" s="25"/>
      <c r="E35" s="26"/>
      <c r="F35" s="27"/>
      <c r="G35" s="27"/>
      <c r="H35" s="30"/>
      <c r="I35" s="28"/>
      <c r="J35" s="29">
        <f t="shared" si="4"/>
        <v>0</v>
      </c>
      <c r="K35" s="28">
        <v>0</v>
      </c>
    </row>
    <row r="36">
      <c r="D36" s="25"/>
      <c r="E36" s="26"/>
      <c r="F36" s="27"/>
      <c r="G36" s="27"/>
      <c r="H36" s="30"/>
      <c r="I36" s="28"/>
      <c r="J36" s="29">
        <f t="shared" si="4"/>
        <v>0</v>
      </c>
      <c r="K36" s="28">
        <v>0</v>
      </c>
    </row>
    <row r="37">
      <c r="D37" s="25"/>
      <c r="E37" s="26"/>
      <c r="F37" s="27"/>
      <c r="G37" s="27"/>
      <c r="H37" s="30"/>
      <c r="I37" s="28"/>
      <c r="J37" s="29">
        <f t="shared" si="4"/>
        <v>0</v>
      </c>
      <c r="K37" s="28">
        <v>0</v>
      </c>
    </row>
    <row r="38">
      <c r="D38" s="25"/>
      <c r="E38" s="26"/>
      <c r="F38" s="27"/>
      <c r="G38" s="27"/>
      <c r="H38" s="30"/>
      <c r="I38" s="28"/>
      <c r="J38" s="29">
        <f t="shared" si="4"/>
        <v>0</v>
      </c>
      <c r="K38" s="28">
        <v>0</v>
      </c>
    </row>
    <row r="39">
      <c r="D39" s="25"/>
      <c r="E39" s="26"/>
      <c r="F39" s="27"/>
      <c r="G39" s="27"/>
      <c r="H39" s="30"/>
      <c r="I39" s="28"/>
      <c r="J39" s="29">
        <f t="shared" si="4"/>
        <v>0</v>
      </c>
      <c r="K39" s="28">
        <v>0</v>
      </c>
    </row>
    <row r="40">
      <c r="D40" s="25"/>
      <c r="E40" s="26"/>
      <c r="F40" s="27"/>
      <c r="G40" s="27"/>
      <c r="H40" s="30"/>
      <c r="I40" s="28"/>
      <c r="J40" s="29">
        <f t="shared" si="4"/>
        <v>0</v>
      </c>
      <c r="K40" s="28">
        <v>0</v>
      </c>
    </row>
    <row r="41">
      <c r="D41" s="25"/>
      <c r="E41" s="26"/>
      <c r="F41" s="27"/>
      <c r="G41" s="27"/>
      <c r="H41" s="30"/>
      <c r="I41" s="28"/>
      <c r="J41" s="29">
        <f t="shared" si="4"/>
        <v>0</v>
      </c>
      <c r="K41" s="28">
        <v>0</v>
      </c>
    </row>
    <row r="42">
      <c r="D42" s="25"/>
      <c r="E42" s="26"/>
      <c r="F42" s="27"/>
      <c r="G42" s="27"/>
      <c r="H42" s="30"/>
      <c r="I42" s="28"/>
      <c r="J42" s="29">
        <f t="shared" si="4"/>
        <v>0</v>
      </c>
      <c r="K42" s="28">
        <v>0</v>
      </c>
    </row>
    <row r="43">
      <c r="D43" s="25"/>
      <c r="E43" s="26"/>
      <c r="F43" s="27"/>
      <c r="G43" s="27"/>
      <c r="H43" s="30"/>
      <c r="I43" s="28"/>
      <c r="J43" s="29">
        <f t="shared" si="4"/>
        <v>0</v>
      </c>
      <c r="K43" s="28">
        <v>0</v>
      </c>
    </row>
    <row r="44">
      <c r="D44" s="25"/>
      <c r="E44" s="26"/>
      <c r="F44" s="27"/>
      <c r="G44" s="27"/>
      <c r="H44" s="30"/>
      <c r="I44" s="28"/>
      <c r="J44" s="29">
        <f t="shared" si="4"/>
        <v>0</v>
      </c>
      <c r="K44" s="28">
        <v>0</v>
      </c>
    </row>
    <row r="45">
      <c r="D45" s="25"/>
      <c r="E45" s="26"/>
      <c r="F45" s="27"/>
      <c r="G45" s="27"/>
      <c r="H45" s="30"/>
      <c r="I45" s="28"/>
      <c r="J45" s="29">
        <f t="shared" si="4"/>
        <v>0</v>
      </c>
      <c r="K45" s="28">
        <v>0</v>
      </c>
    </row>
    <row r="46">
      <c r="D46" s="25"/>
      <c r="E46" s="26"/>
      <c r="F46" s="27"/>
      <c r="G46" s="27"/>
      <c r="H46" s="30"/>
      <c r="I46" s="28"/>
      <c r="J46" s="29">
        <f t="shared" si="4"/>
        <v>0</v>
      </c>
      <c r="K46" s="28">
        <v>0</v>
      </c>
    </row>
    <row r="47">
      <c r="D47" s="25"/>
      <c r="E47" s="26"/>
      <c r="F47" s="27"/>
      <c r="G47" s="27"/>
      <c r="H47" s="30"/>
      <c r="I47" s="28"/>
      <c r="J47" s="29">
        <f t="shared" si="4"/>
        <v>0</v>
      </c>
      <c r="K47" s="28">
        <v>0</v>
      </c>
    </row>
    <row r="48">
      <c r="D48" s="25"/>
      <c r="E48" s="26"/>
      <c r="F48" s="27"/>
      <c r="G48" s="27"/>
      <c r="H48" s="30"/>
      <c r="I48" s="28"/>
      <c r="J48" s="29">
        <f t="shared" si="4"/>
        <v>0</v>
      </c>
      <c r="K48" s="28">
        <v>0</v>
      </c>
    </row>
    <row r="49">
      <c r="D49" s="25"/>
      <c r="E49" s="26"/>
      <c r="F49" s="27"/>
      <c r="G49" s="27"/>
      <c r="H49" s="30"/>
      <c r="I49" s="28"/>
      <c r="J49" s="29">
        <f t="shared" si="4"/>
        <v>0</v>
      </c>
      <c r="K49" s="28">
        <v>0</v>
      </c>
    </row>
    <row r="50">
      <c r="D50" s="25"/>
      <c r="E50" s="26"/>
      <c r="F50" s="27"/>
      <c r="G50" s="27"/>
      <c r="H50" s="30"/>
      <c r="I50" s="28"/>
      <c r="J50" s="29">
        <f t="shared" si="4"/>
        <v>0</v>
      </c>
      <c r="K50" s="28">
        <v>0</v>
      </c>
    </row>
    <row r="51">
      <c r="D51" s="25"/>
      <c r="E51" s="26"/>
      <c r="F51" s="27"/>
      <c r="G51" s="27"/>
      <c r="H51" s="30"/>
      <c r="I51" s="28"/>
      <c r="J51" s="29">
        <f t="shared" si="4"/>
        <v>0</v>
      </c>
      <c r="K51" s="28">
        <v>0</v>
      </c>
    </row>
    <row r="52">
      <c r="D52" s="25"/>
      <c r="E52" s="26"/>
      <c r="F52" s="27"/>
      <c r="G52" s="27"/>
      <c r="H52" s="30"/>
      <c r="I52" s="28"/>
      <c r="J52" s="29">
        <f t="shared" si="4"/>
        <v>0</v>
      </c>
      <c r="K52" s="28">
        <v>0</v>
      </c>
    </row>
    <row r="53">
      <c r="D53" s="25"/>
      <c r="E53" s="26"/>
      <c r="F53" s="27"/>
      <c r="G53" s="27"/>
      <c r="H53" s="30"/>
      <c r="I53" s="28"/>
      <c r="J53" s="29">
        <f t="shared" si="4"/>
        <v>0</v>
      </c>
      <c r="K53" s="28">
        <v>0</v>
      </c>
    </row>
    <row r="54">
      <c r="D54" s="25"/>
      <c r="E54" s="26"/>
      <c r="F54" s="27"/>
      <c r="G54" s="27"/>
      <c r="H54" s="30"/>
      <c r="I54" s="28"/>
      <c r="J54" s="29">
        <f t="shared" si="4"/>
        <v>0</v>
      </c>
      <c r="K54" s="28">
        <v>0</v>
      </c>
    </row>
    <row r="55">
      <c r="D55" s="33"/>
      <c r="E55" s="34"/>
      <c r="F55" s="35"/>
      <c r="G55" s="35"/>
      <c r="H55" s="29"/>
      <c r="I55" s="29"/>
      <c r="J55" s="36"/>
    </row>
  </sheetData>
  <sheetProtection autoFilter="1" deleteColumns="1" deleteRows="1" formatCells="1" formatColumns="1" formatRows="1" insertColumns="1" insertHyperlinks="1" insertRows="1" objects="0" pivotTables="1" scenarios="0" selectLockedCells="0" selectUnlockedCells="0" sheet="1" sort="1"/>
  <mergeCells count="9">
    <mergeCell ref="A1:N1"/>
    <mergeCell ref="A2:E2"/>
    <mergeCell ref="A3:D3"/>
    <mergeCell ref="A4:D4"/>
    <mergeCell ref="A5:D5"/>
    <mergeCell ref="A7:D7"/>
    <mergeCell ref="A9:B9"/>
    <mergeCell ref="D9:K9"/>
    <mergeCell ref="M9:N9"/>
  </mergeCells>
  <printOptions headings="0" gridLines="0"/>
  <pageMargins left="0.75" right="0.75" top="1" bottom="1" header="0.5" footer="0.5"/>
  <pageSetup paperSize="9" scale="45" fitToWidth="1" fitToHeight="1" pageOrder="downThenOver" orientation="landscape" usePrinterDefaults="1" blackAndWhite="0" draft="0" cellComments="none" useFirstPageNumber="0" errors="displayed" horizontalDpi="0" verticalDpi="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9" operator="equal" id="{00EF00E1-00A3-4B49-A0A8-009600EA00AC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E3</xm:sqref>
        </x14:conditionalFormatting>
        <x14:conditionalFormatting xmlns:xm="http://schemas.microsoft.com/office/excel/2006/main">
          <x14:cfRule type="cellIs" priority="10" operator="equal" id="{00E90079-00FF-4310-8267-001E004D000E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E3:E5</xm:sqref>
        </x14:conditionalFormatting>
        <x14:conditionalFormatting xmlns:xm="http://schemas.microsoft.com/office/excel/2006/main">
          <x14:cfRule type="cellIs" priority="3" operator="equal" id="{005A009B-00DA-4776-9587-007400A10053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4" operator="equal" id="{00E30016-00E8-4237-B010-0001002A0083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7" operator="equal" id="{005E000A-00AC-4E50-B57E-00CB00AC00D2}">
            <xm:f>TRUE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8" operator="equal" id="{007A00F2-0051-4F27-AA77-00D8002800F9}">
            <xm:f>FALSE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N14</xm:sqref>
        </x14:conditionalFormatting>
        <x14:conditionalFormatting xmlns:xm="http://schemas.microsoft.com/office/excel/2006/main">
          <x14:cfRule type="cellIs" priority="1" operator="equal" id="{00C400C3-0032-4C40-801B-0096006600F3}">
            <xm:f>FALSE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equal" id="{007E0076-000C-48AC-A6E4-00F600C4005C}">
            <xm:f>TRUE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N15</xm:sqref>
        </x14:conditionalFormatting>
        <x14:conditionalFormatting xmlns:xm="http://schemas.microsoft.com/office/excel/2006/main">
          <x14:cfRule type="cellIs" priority="2" operator="greaterThan" id="{00E70067-00A3-4FED-8004-0099004100B8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</xm:sqref>
        </x14:conditionalFormatting>
        <x14:conditionalFormatting xmlns:xm="http://schemas.microsoft.com/office/excel/2006/main">
          <x14:cfRule type="cellIs" priority="1" operator="equal" id="{0083006D-00E3-4790-B329-00F0003F00CB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0092004E-00B0-4435-9029-00ED00030049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AND((E14+G14)&gt;=($B$13+$B$14),(E14+G14)&lt;=($B$15+$B$16))</xm:f>
          </x14:formula1>
          <xm:sqref>G14:G54</xm:sqref>
        </x14:dataValidation>
        <x14:dataValidation xr:uid="{000800A0-009C-4050-92AD-002500440075}" type="custom" allowBlank="1" error="Zeitangabe muss innerhalb der Reisezeit liegen!" errorStyle="stop" errorTitle="Ungültige Zeitangabe" imeMode="noControl" operator="between" showDropDown="0" showErrorMessage="1" showInputMessage="1">
          <x14:formula1>
            <xm:f>AND((E14+F14)&gt;=($B$13+$B$14),(E14+F14)&lt;=($B$15+$B$16))</xm:f>
          </x14:formula1>
          <xm:sqref>F14:F54</xm:sqref>
        </x14:dataValidation>
        <x14:dataValidation xr:uid="{00A800B2-0078-49DD-B206-0011003900DD}" type="date" allowBlank="1" error="Datum muss in der Dienstreisezeit liegen!" errorStyle="stop" errorTitle="Ungültiges Datum" imeMode="noControl" operator="between" showDropDown="0" showErrorMessage="1" showInputMessage="1">
          <x14:formula1>
            <xm:f>$B$13</xm:f>
          </x14:formula1>
          <x14:formula2>
            <xm:f>$B$15</xm:f>
          </x14:formula2>
          <xm:sqref>E14:E54</xm:sqref>
        </x14:dataValidation>
        <x14:dataValidation xr:uid="{00CF00CB-0008-4985-A874-009B00A200B7}" type="custom" allowBlank="1" error="Kilometerangabe muss größer oder gleich sein als letzter Kilometerstand!" errorStyle="stop" errorTitle="Ungültige km-Angabe" imeMode="noControl" operator="between" showDropDown="0" showErrorMessage="1" showInputMessage="1">
          <x14:formula1>
            <xm:f>H15&gt;=I14</xm:f>
          </x14:formula1>
          <xm:sqref>H15:H54</xm:sqref>
        </x14:dataValidation>
        <x14:dataValidation xr:uid="{00DD00D3-00A7-4468-AC92-005900B8000B}" type="custom" allowBlank="1" error="Kilometerangabe bei Ankunft muss größer sein als wie bei der Abfahrt!" errorStyle="stop" errorTitle="Ungültige km-Angabe" imeMode="noControl" operator="between" showDropDown="0" showErrorMessage="1" showInputMessage="1">
          <x14:formula1>
            <xm:f>I14&gt;H14</xm:f>
          </x14:formula1>
          <xm:sqref>I14:I54</xm:sqref>
        </x14:dataValidation>
        <x14:dataValidation xr:uid="{00720043-009F-4594-86E8-00FF00F800EB}" type="none" allowBlank="1" errorStyle="stop" imeMode="noControl" operator="between" showDropDown="0" showErrorMessage="1" showInputMessage="1">
          <x14:formula1>
            <xm:f>"TRUE,FALSE"</xm:f>
          </x14:formula1>
          <xm:sqref>E3</xm:sqref>
        </x14:dataValidation>
        <x14:dataValidation xr:uid="{0083005E-00EF-4FCC-8B7D-003D005400D8}" type="none" allowBlank="1" errorStyle="stop" imeMode="noControl" operator="between" showDropDown="0" showErrorMessage="1" showInputMessage="1">
          <x14:formula1>
            <xm:f>"TRUE,FALSE"</xm:f>
          </x14:formula1>
          <xm:sqref>E4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zoomScale="125" workbookViewId="0">
      <selection activeCell="I45" activeCellId="0" sqref="I45"/>
    </sheetView>
  </sheetViews>
  <sheetFormatPr defaultColWidth="8.85546875" defaultRowHeight="15"/>
  <cols>
    <col bestFit="1" customWidth="1" min="1" max="1" width="7.85546875"/>
    <col customWidth="1" min="2" max="2" width="24.28515625"/>
    <col customWidth="1" min="3" max="4" width="21.28515625"/>
  </cols>
  <sheetData>
    <row r="1" ht="24">
      <c r="A1" s="4" t="s">
        <v>50</v>
      </c>
      <c r="B1" s="4"/>
      <c r="C1" s="4"/>
      <c r="D1" s="4"/>
    </row>
    <row r="2" ht="15.75">
      <c r="A2" s="40" t="s">
        <v>51</v>
      </c>
      <c r="B2" s="41" t="s">
        <v>52</v>
      </c>
      <c r="C2" s="41" t="s">
        <v>53</v>
      </c>
      <c r="D2" s="42" t="s">
        <v>54</v>
      </c>
    </row>
    <row r="3">
      <c r="A3" s="43" t="s">
        <v>55</v>
      </c>
      <c r="B3" s="23">
        <f>IFERROR('Reise 1'!$N$19,"-")</f>
        <v>0</v>
      </c>
      <c r="C3" s="23">
        <f>IFERROR('Reise 1'!$N$16,"-")</f>
        <v>0</v>
      </c>
      <c r="D3" s="44">
        <f>IFERROR('Reise 1'!$N$20,"-")</f>
        <v>0</v>
      </c>
    </row>
    <row r="4">
      <c r="A4" s="43" t="s">
        <v>56</v>
      </c>
      <c r="B4" s="23">
        <f>IFERROR('Reise 2'!$N$19,"-")</f>
        <v>0</v>
      </c>
      <c r="C4" s="23">
        <f>IFERROR('Reise 2'!$N$16,"-")</f>
        <v>0</v>
      </c>
      <c r="D4" s="44">
        <f>IFERROR('Reise 2'!$N$20,"-")</f>
        <v>0</v>
      </c>
    </row>
    <row r="5">
      <c r="A5" s="43" t="s">
        <v>57</v>
      </c>
      <c r="B5" s="23">
        <f>IFERROR('Reise 3'!$N$19,"-")</f>
        <v>0</v>
      </c>
      <c r="C5" s="23">
        <f>IFERROR('Reise 3'!$N$16,"-")</f>
        <v>0</v>
      </c>
      <c r="D5" s="44">
        <f>IFERROR('Reise 3'!$N$20,"-")</f>
        <v>0</v>
      </c>
    </row>
    <row r="6">
      <c r="A6" s="43" t="s">
        <v>58</v>
      </c>
      <c r="B6" s="23">
        <f>IFERROR('Reise 4'!$N$19,"-")</f>
        <v>0</v>
      </c>
      <c r="C6" s="23">
        <f>IFERROR('Reise 4'!$N$16,"-")</f>
        <v>0</v>
      </c>
      <c r="D6" s="44">
        <f>IFERROR('Reise 4'!$N$20,"-")</f>
        <v>0</v>
      </c>
    </row>
    <row r="7" ht="15.75">
      <c r="A7" s="43" t="s">
        <v>59</v>
      </c>
      <c r="B7" s="23">
        <f>IFERROR('Reise 5'!$N$19,"-")</f>
        <v>0</v>
      </c>
      <c r="C7" s="23">
        <f>IFERROR('Reise 5'!$N$16,"-")</f>
        <v>0</v>
      </c>
      <c r="D7" s="44">
        <f>IFERROR('Reise 5'!$N$20,"-")</f>
        <v>0</v>
      </c>
    </row>
    <row r="8" ht="16.5">
      <c r="A8" s="45" t="s">
        <v>60</v>
      </c>
      <c r="B8" s="45"/>
      <c r="C8" s="45"/>
      <c r="D8" s="46">
        <f>SUM(Table6[Summe Reise])</f>
        <v>0</v>
      </c>
    </row>
  </sheetData>
  <sheetProtection autoFilter="1" deleteColumns="1" deleteRows="1" formatCells="1" formatColumns="1" formatRows="1" insertColumns="1" insertHyperlinks="1" insertRows="1" objects="1" pivotTables="1" scenarios="1" selectLockedCells="0" selectUnlockedCells="0" sheet="1" sort="1"/>
  <mergeCells count="2">
    <mergeCell ref="A1:D1"/>
    <mergeCell ref="A8:C8"/>
  </mergeCells>
  <printOptions headings="0" gridLines="0"/>
  <pageMargins left="0.75" right="0.75" top="1" bottom="1" header="0.5" footer="0.5"/>
  <pageSetup paperSize="9" scale="100" fitToWidth="1" fitToHeight="1" pageOrder="downThenOver" orientation="landscape" usePrinterDefaults="1" blackAndWhite="0" draft="0" cellComments="none" useFirstPageNumber="0" errors="displayed" horizontalDpi="0" verticalDpi="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onlyoffice/9.3.0.138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Syslifters</dc:creator>
  <cp:lastModifiedBy>Syslifters</cp:lastModifiedBy>
  <cp:revision>5</cp:revision>
  <dcterms:created xsi:type="dcterms:W3CDTF">2025-09-29T07:05:14Z</dcterms:created>
  <dcterms:modified xsi:type="dcterms:W3CDTF">2026-05-18T12:03:44Z</dcterms:modified>
</cp:coreProperties>
</file>